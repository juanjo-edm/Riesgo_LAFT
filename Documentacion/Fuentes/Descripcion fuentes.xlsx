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juanjoseecheverry/Library/Mobile Documents/com~apple~CloudDocs/Trabajos/Bancoldex/Nacional/Documentacion/"/>
    </mc:Choice>
  </mc:AlternateContent>
  <xr:revisionPtr revIDLastSave="0" documentId="13_ncr:1_{4CEEDB59-3D84-F54B-AB2A-3F52BB9AA610}" xr6:coauthVersionLast="47" xr6:coauthVersionMax="47" xr10:uidLastSave="{00000000-0000-0000-0000-000000000000}"/>
  <bookViews>
    <workbookView xWindow="0" yWindow="0" windowWidth="33600" windowHeight="21000" firstSheet="2" activeTab="3" xr2:uid="{9F174717-702A-489E-8856-7D30E294E6C4}"/>
  </bookViews>
  <sheets>
    <sheet name="ANEXO_ANTIGUO" sheetId="10" r:id="rId1"/>
    <sheet name="ANEXO_PROPUESTO" sheetId="12" r:id="rId2"/>
    <sheet name="CONCEPTOS" sheetId="11" r:id="rId3"/>
    <sheet name="FUENTES" sheetId="8" r:id="rId4"/>
    <sheet name="Guia Codificacion" sheetId="14" r:id="rId5"/>
  </sheets>
  <definedNames>
    <definedName name="_xlnm._FilterDatabase" localSheetId="3" hidden="1">FUENTES!$A$1:$J$35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12" l="1"/>
  <c r="C42" i="12"/>
  <c r="C41" i="12"/>
  <c r="C38" i="12"/>
  <c r="C37" i="12"/>
  <c r="C36" i="12"/>
  <c r="C33" i="12"/>
  <c r="C32" i="12"/>
  <c r="C31" i="12"/>
  <c r="C29" i="12"/>
  <c r="C28" i="12"/>
  <c r="C27" i="12"/>
  <c r="C25" i="12"/>
  <c r="C24" i="12"/>
  <c r="C23" i="12"/>
  <c r="C21" i="12"/>
  <c r="C20" i="12"/>
  <c r="C19" i="12"/>
  <c r="C17" i="12"/>
  <c r="C16" i="12"/>
  <c r="C15" i="12"/>
  <c r="C11" i="12"/>
  <c r="C13" i="12"/>
  <c r="C12" i="12"/>
  <c r="C9" i="12"/>
  <c r="C8" i="12"/>
  <c r="C7" i="12"/>
  <c r="C43" i="12"/>
  <c r="C34"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Jose Echeverry de Mendoza</author>
  </authors>
  <commentList>
    <comment ref="C1" authorId="0" shapeId="0" xr:uid="{049A294A-923A-43EA-957C-EBB70C5200B0}">
      <text>
        <r>
          <rPr>
            <b/>
            <sz val="9"/>
            <color indexed="81"/>
            <rFont val="Tahoma"/>
            <family val="2"/>
          </rPr>
          <t>Juan Jose Echeverry de Mendoza:</t>
        </r>
        <r>
          <rPr>
            <sz val="9"/>
            <color indexed="81"/>
            <rFont val="Tahoma"/>
            <family val="2"/>
          </rPr>
          <t xml:space="preserve">
Si esta en verde es por que se valido la digitacion </t>
        </r>
      </text>
    </comment>
    <comment ref="C5" authorId="0" shapeId="0" xr:uid="{5055A2B4-4DCC-46F0-A8E3-9AB6D3B8C355}">
      <text>
        <r>
          <rPr>
            <b/>
            <sz val="9"/>
            <color indexed="81"/>
            <rFont val="Tahoma"/>
            <family val="2"/>
          </rPr>
          <t>Juan Jose Echeverry de Mendoza:</t>
        </r>
        <r>
          <rPr>
            <sz val="9"/>
            <color indexed="81"/>
            <rFont val="Tahoma"/>
            <family val="2"/>
          </rPr>
          <t xml:space="preserve">
Estos datos al no tener conexión directa con datos abiertos no es viable</t>
        </r>
      </text>
    </comment>
  </commentList>
</comments>
</file>

<file path=xl/sharedStrings.xml><?xml version="1.0" encoding="utf-8"?>
<sst xmlns="http://schemas.openxmlformats.org/spreadsheetml/2006/main" count="441" uniqueCount="224">
  <si>
    <t>DOCUMENTO BANCOLDEX</t>
  </si>
  <si>
    <t>ANEXO VALORACIÓN FACTOR DE RIESGO - JURISDICCIÓN NACIONAL</t>
  </si>
  <si>
    <t>CRITERIOS</t>
  </si>
  <si>
    <t>DESCRIPCIÓN DE CRITERIOS</t>
  </si>
  <si>
    <t>PESO</t>
  </si>
  <si>
    <t>CRITERIOS DE EVALUACIÓN</t>
  </si>
  <si>
    <r>
      <t xml:space="preserve">CULTIVOS DE COCA
</t>
    </r>
    <r>
      <rPr>
        <sz val="10"/>
        <color theme="1"/>
        <rFont val="Arial"/>
        <family val="2"/>
      </rPr>
      <t>UNODC</t>
    </r>
  </si>
  <si>
    <t>Alto</t>
  </si>
  <si>
    <t>Medio</t>
  </si>
  <si>
    <t>Bajo</t>
  </si>
  <si>
    <r>
      <t xml:space="preserve">INCAUTACIONES DE DROGAS ILICITAS
</t>
    </r>
    <r>
      <rPr>
        <sz val="10"/>
        <rFont val="Arial"/>
        <family val="2"/>
      </rPr>
      <t>UNODC</t>
    </r>
  </si>
  <si>
    <r>
      <t xml:space="preserve">DELITOS Y CONTRAVENCIONES
</t>
    </r>
    <r>
      <rPr>
        <sz val="10"/>
        <color theme="1"/>
        <rFont val="Aptos Narrow"/>
        <family val="2"/>
        <scheme val="minor"/>
      </rPr>
      <t>POLICIA NACIONAL</t>
    </r>
  </si>
  <si>
    <r>
      <t xml:space="preserve">ITD GOBERNACIÓN
</t>
    </r>
    <r>
      <rPr>
        <sz val="10"/>
        <color theme="1"/>
        <rFont val="Aptos Narrow"/>
        <family val="2"/>
        <scheme val="minor"/>
      </rPr>
      <t>TRANSPARENCIA POR COLOMBIA</t>
    </r>
  </si>
  <si>
    <r>
      <t xml:space="preserve">GRUPOS ARMADOS ILEGALES
</t>
    </r>
    <r>
      <rPr>
        <sz val="8"/>
        <rFont val="Arial"/>
        <family val="2"/>
      </rPr>
      <t>INDEPAZ</t>
    </r>
  </si>
  <si>
    <r>
      <t xml:space="preserve">TERRORISMO
</t>
    </r>
    <r>
      <rPr>
        <sz val="10"/>
        <rFont val="Aptos Narrow"/>
        <family val="2"/>
        <scheme val="minor"/>
      </rPr>
      <t>POLICIA NACIONAL</t>
    </r>
  </si>
  <si>
    <t>FRONTERIZO</t>
  </si>
  <si>
    <t>Si</t>
  </si>
  <si>
    <t>No</t>
  </si>
  <si>
    <t>TOTAL</t>
  </si>
  <si>
    <t>VALORACIÓN DEL FACTOR DE RIESGO JURISDICCIÓN NACIONAL</t>
  </si>
  <si>
    <t>MUY ALTO     
Entre 85% y 100%</t>
  </si>
  <si>
    <t>RIESGO ALTO
Entre 60% y 85%</t>
  </si>
  <si>
    <t>RIESGO MEDIO 
Entre 20% y 60%</t>
  </si>
  <si>
    <t>RIESGO BAJO
Igual o menor a 20%</t>
  </si>
  <si>
    <t>Departamento con información relevante de mayor riesgo de LA/FT</t>
  </si>
  <si>
    <t>Departamento con información relevante de riesgo de LA/FT y calificado en algún criterio en nivel de riesgo alto y/o medio</t>
  </si>
  <si>
    <t>Departamento con información de riesgo de LA/FT o calificado en algunos criterios en nivel de riesgo medio</t>
  </si>
  <si>
    <t>Departamento calificado con criterios en nivel de riesgo bajo o medio</t>
  </si>
  <si>
    <t>Concepto</t>
  </si>
  <si>
    <t xml:space="preserve">Fuente </t>
  </si>
  <si>
    <t>Codificado</t>
  </si>
  <si>
    <t>Proposito</t>
  </si>
  <si>
    <t xml:space="preserve">Enlace </t>
  </si>
  <si>
    <t xml:space="preserve">Suministrado por </t>
  </si>
  <si>
    <t>Frecuencia de Actualización</t>
  </si>
  <si>
    <t>Cobertura Geográfica</t>
  </si>
  <si>
    <t>API</t>
  </si>
  <si>
    <t>Minería ilegal y explotación ilícita</t>
  </si>
  <si>
    <t>INCAUTACIONES Y/O DESTRUCCIONES MAQUINARIA EXPLOTACIÓN ILÍCITA DE MINERALES</t>
  </si>
  <si>
    <t>Es la prohibición temporal de transferir, convertir, enajenar o mover bienes, la custodia o el control temporal de bienes que se han comprado con dinero producto de una actividad ilegal o han sido utilizados para realizar actividades delincuenciales y/o por orden expedida por una autoridad competente. Esta acción pueden realizarla tanto las Fuerzas Militares como la Policía Nacional y en ambos casos los bienes son puestos a disposición de la autoridad competente.</t>
  </si>
  <si>
    <t>https://www.datos.gov.co/Seguridad-y-Defensa/INCAUTACIONES-Y-O-DESTRUCCIONES-MAQUINARIA-EXPLOTA/dxs6-mdeg/about_data</t>
  </si>
  <si>
    <t>Ministerio de Defensa Nacional</t>
  </si>
  <si>
    <t>Mensual</t>
  </si>
  <si>
    <t>Municipal</t>
  </si>
  <si>
    <t>MINAS INTERVENIDAS</t>
  </si>
  <si>
    <t>Intervención de unidades productoras mineras por explotación ilícita por parte de la Fuerza Pública.</t>
  </si>
  <si>
    <t>https://www.datos.gov.co/Seguridad-y-Defensa/MINAS-INTERVENIDAS/gr35-i7pm/about_data</t>
  </si>
  <si>
    <t xml:space="preserve">	Mensual</t>
  </si>
  <si>
    <t>CAPTURAS POR MINERÍA ILEGAL</t>
  </si>
  <si>
    <t>Mide la cantidad de capturas realizadas por el delito contemplado en el artículo 332 del código penal colombiano, correspondiente a la Explotación ilícita de yacimiento minero. Esta acción la pueden realizar los miembros de las Fuerzas Militares y de la Policía Nacional dejando a disposición de la autoridad competente. La unidad de medida corresponde a personas capturadas.</t>
  </si>
  <si>
    <t>https://www.datos.gov.co/Seguridad-y-Defensa/CAPTURAS-POR-MINER-A-ILEGAL/3wcs-8xp9/about_data</t>
  </si>
  <si>
    <t>INCAUTACION ORO Y MERCURIO</t>
  </si>
  <si>
    <t xml:space="preserve">Incautaciones de oro y emercurio en los diferentes departmantos </t>
  </si>
  <si>
    <t>https://www.mindefensa.gov.co/defensa-y-seguridad/datos-y-cifras/informacion-estadistica</t>
  </si>
  <si>
    <t>Narcotráfico</t>
  </si>
  <si>
    <t>Detección de Cultivos de Coca (hectáreas)</t>
  </si>
  <si>
    <t>Cuantificación de las hectáreas de los cultivos de coca existentes a 31 de diciembre de cada año en el territorio nacional. Información compilada para los años 2001 al 2023.</t>
  </si>
  <si>
    <t>https://www.datos.gov.co/Justicia-y-Derecho/Detecci-n-de-Cultivos-de-Coca-hect-reas-/acs4-3wgp/about_data</t>
  </si>
  <si>
    <t>Ministerio de Justicia y el derecho en convenio con Naciones Unidads</t>
  </si>
  <si>
    <t>Anual</t>
  </si>
  <si>
    <t>INCAUTACIONES DE BASE DE COCA</t>
  </si>
  <si>
    <t>Incluye el número de kilos de la pasta/base de cocaína incautada por la Fuerza Pública en el ejercicio de sus funciones. Entiéndase por Pasta/base de cocaína lo siguiente: La pasta de cocaína es el primer subproducto que se obtiene en la fase inicial de la extracción de los alcaloides de la hoja de coca, a partir de combustibles y ácido sulfúrico. Una vez refinada, se le conoce como base de cocaína. Esta refinación se hace mediante la utilización de sustancias oxidantes, de preferencia el permanganato de potasio. En este caso se agrupan, puesto que se reportan indistintamente en el sistema de información de seguridad y defensa.</t>
  </si>
  <si>
    <t>https://www.datos.gov.co/Seguridad-y-Defensa/INCAUTACIONES-DE-BASE-DE-COCA/nxbk-nikm/about_data</t>
  </si>
  <si>
    <t>INCAUTACIONES DE COCAÍNA</t>
  </si>
  <si>
    <t>Iincluye el número de kilos de clorhidrato de cocaína incautado o interrumpido por la Fuerza Pública en el ejercicio de sus funciones. Entiéndase por Clorhidrato de cocaína como el producto obtenido a partir de la pasta básica de cocaína o base de cocaína mediante una serie de reacciones que incluyen cambios de pH y procesos de precipitación, para finalizar con la adición de ácido clorhídrico con el objeto de formar la sal. La unidad de medida corresponde a kilogramos incautados (kg).</t>
  </si>
  <si>
    <t>https://www.datos.gov.co/Seguridad-y-Defensa/INCAUTACIONES-DE-COCA-NA/26zg-9p9r/about_data</t>
  </si>
  <si>
    <t>INCAUTACIONES DE MARIHUANA</t>
  </si>
  <si>
    <t>Incluye el número de kilos de marihuana incautada por la Fuerza Pública en el ejercicio de sus funciones. Entiéndase por Marihuana como una droga derivada de la planta del cáñamo (Cannabis), la cual es originaria de Asia (cordilleras de Himalaya). La principal sustancia psicoactiva presente en la droga es el THC o tetrahidrocannabinol y se concentra en las inflorescencias de la planta hembra. Las hojas y la planta macho contienen mucho menos THC y usualmente no se destinan directamente para su consumo, aunque si pueden venir mezcladas con las partes más activas de la planta hembra, dependiendo de la calidad del producto y su precio en el mercado. Las semillas de cannabis no contienen TH</t>
  </si>
  <si>
    <t>https://www.datos.gov.co/Seguridad-y-Defensa/INCAUTACIONES-DE-MARIHUANA/g228-vp9d/about_data</t>
  </si>
  <si>
    <t>DESTRUCCIÓN DE INFRAESTRUCTURA DE PRODUCCIÓN DE DROGAS ILÍCITAS</t>
  </si>
  <si>
    <t>Incluye el número de laboratorios para la producción de drogas ilícitas destruidas por la Fuerza Pública.
Entiéndase por:
Infraestructuras para la producción de drogas: aquellos laboratorios donde se utilizan sustancias químicas y equipos necesarios para preparar una sustancia controlada a partir de sus precursores.
Estas infraestructuras se clasifican de acuerdo con el proceso de fabricación o de acuerdo con el tipo de producto fabricado.
•Laboratorio de clorhidrato de cocaína: son las infraestructuras donde la sustancia psicoactiva (base de cocaína) extraída del material vegetal (hoja de coca) se somete a procesos químicos para ser convertida en clorhidrato de cocaína.
•Laboratorio de pasta o base de cocaína: son las estructuras en donde se obtiene la sustancia (pasta o base de cocaína) mediante el procesamiento del material vegetal (hoja de coca), con el empleo de solventes orgánicos. En este caso se efectúa un proceso físico en el cual no se altera ni se modifica la estructura química de la sustancia, sólo se limita a su extracción.
•Laboratorio de heroína: son las infraestructuras donde la sustancia psicoactiva (morfina) extraída del material vegetal (adormidera) se somete a procesos químicos para ser convertida en heroína.
•Laboratorios de permanganato de potasio: son las infraestructuras donde se realiza la producción
clandestina de ácido sulfúrico, empleado en el proceso de extracción del alcaloide de cocaína de la hoja de coca.
•laboratorios de ácido sulfúrico: son las infraestructuras donde se realiza la producción clandestina de ácido sulfúrico, empleado en el proceso de extracción del alcaloide de cocaína de la hoja de coca.
•Laboratorios de sustancias psicotrópicas: son las infraestructuras en las cuales a partir de un procedimiento químico se transforma un precursor químico en una sustancia química o sintética para producir drogas sintéticas.
Destrucción: corresponde a reducir a pedazos y/o cenizas u ocasionarle un grave daño a un elemento utilizado en la realización de acciones terroristas, criminales o delincuenciales.</t>
  </si>
  <si>
    <t>https://www.datos.gov.co/Seguridad-y-Defensa/DESTRUCCI-N-DE-INFRAESTRUCTURA-DE-PRODUCCI-N-DE-DR/s29y-2xjd/about_data</t>
  </si>
  <si>
    <t>INCAUTACIONES DE INSUMOS LÍQUIDOS</t>
  </si>
  <si>
    <t>Incluye el número de galones de sustancias químicas empleadas para la fabricación de drogas ilícitas, incautados por la fuerza pública.</t>
  </si>
  <si>
    <t>https://www.datos.gov.co/Seguridad-y-Defensa/INCAUTACIONES-DE-INSUMOS-L-QUIDOS/k2wp-tdv7/about_data</t>
  </si>
  <si>
    <t>INSUMOS SÓLIDOS</t>
  </si>
  <si>
    <t>Es cualquier sustancia con una composición química definida, sin importar su procedencia,
que es utilizada en la producción de drogas ilícitas. La unidad de medida de los insumos
sólidos es kilogramos (kg) y de los insumos líquidos es galones (gal). A partir de la Resolución 001 de 2015, el Consejo Nacional de Estupefacientes estableció las sustancias y productos químicos que deben ser controlados debido a que pueden ser utilizados o destinados de manera directa o indirecta en la extracción, transformación y refinación de drogas ilícitas.</t>
  </si>
  <si>
    <t>https://www.datos.gov.co/Seguridad-y-Defensa/INSUMOS-S-LIDOS/n997-hhiv/about_data</t>
  </si>
  <si>
    <t>INCAUTACIONES DE BASUCO</t>
  </si>
  <si>
    <t>Incluye el número de kilos de basuco incautados por la Fuerza Pública en el ejercicio de sus funciones. Entiéndase por Basuco como la droga obtenida a partir de la pasta o base de cocaína que se mezcla con diferentes agentes de corte con el fin de comercializarla para su consumo.</t>
  </si>
  <si>
    <t>https://www.datos.gov.co/Seguridad-y-Defensa/INCAUTACIONES-DE-BASUCO/3cjd-phaj/about_data</t>
  </si>
  <si>
    <t>INCAUTACIÓN DE HEROÍNA</t>
  </si>
  <si>
    <t>es una droga narcótica o estupefaciente obtenida a partir de la morfina. Se presenta en forma de polvo de colores y calidades variables; algunas de color blanco en forma de clorhidrato como la producida en Colombia y otras más oscuras en forma de base como las de origen asiático. Como la mayoría de las drogas en Colombia, puede tener diferentes adulterantes que reducen su pureza. La unidad de medida corresponde a kilogramos (kg).</t>
  </si>
  <si>
    <t>https://www.datos.gov.co/Seguridad-y-Defensa/INCAUTACI-N-DE-HERO-NA/iat2-gskt/about_data</t>
  </si>
  <si>
    <t>Delitos ambientales</t>
  </si>
  <si>
    <t>DELITOS CONTRA EL MEDIO AMBIENTE</t>
  </si>
  <si>
    <t>Los delitos contra los recursos naturales y el medio ambiente descritos en este documento son todos los que están comprendidos en el Título XI “De los delitos contra los recursos naturales y el medio ambiente” del Código Penal Colombiano, artículos 328 al 339. Los delitos que se muestran a continuación corresponden a la modificación que la Ley 2111 de 2021 (29 de julio) dispuso para este Título. Se mide en casos.</t>
  </si>
  <si>
    <t>https://www.datos.gov.co/Seguridad-y-Defensa/DELITOS-CONTRA-EL-MEDIO-AMBIENTE/9zck-qfvc/about_data</t>
  </si>
  <si>
    <t xml:space="preserve"> Extorsión y control territorial</t>
  </si>
  <si>
    <t>EXTORSIÓN</t>
  </si>
  <si>
    <t>según el art. 244 del Código Penal Colombiano, Ley 599 de 2000, se define como “el que constriña a otro a hacer, tolerar u omitir alguna cosa, con el propósito de obtener provecho ilícito o cualquier utilidad ilícita o beneficio ilícito, para sí o para un tercero”. Se mide en víctimas.</t>
  </si>
  <si>
    <t>https://www.datos.gov.co/Seguridad-y-Defensa/EXTORSI-N/q2ib-t9am/about_data</t>
  </si>
  <si>
    <t>SECUESTRO</t>
  </si>
  <si>
    <t>es el total del número de casos y la relación de víctimas de secuestro simple y de secuestro extorsivo.</t>
  </si>
  <si>
    <t>https://www.datos.gov.co/Seguridad-y-Defensa/SECUESTRO/d7zw-hpf4/about_data</t>
  </si>
  <si>
    <t>Policía Nacional</t>
  </si>
  <si>
    <t>Trimestral</t>
  </si>
  <si>
    <t xml:space="preserve"> Contrabando y economías logísticas ilegales</t>
  </si>
  <si>
    <t>PIRATERÍA TERRESTRE</t>
  </si>
  <si>
    <t>actividad delictiva encaminada al hurto de mercancía o bienes transportados en vehículos de carga o pasajeros, mediante el uso de diferentes modalidades y que se realiza, ya sea durante el desplazamiento o cuando se encuentran estacionados en algún lugar (de origen o de destino). Los hechos de piratería terrestre pueden ocurrir en lugares urbanos o rurales, se mide en intervinientes (víctimas).</t>
  </si>
  <si>
    <t>https://www.datos.gov.co/Seguridad-y-Defensa/PIRATER-A-TERRESTRE/sutf-7dyz/about_data</t>
  </si>
  <si>
    <t>Violencia y seguridad ciudadana (Contexto)</t>
  </si>
  <si>
    <t>HURTO A VEHÍCULOS</t>
  </si>
  <si>
    <t>es la sumatoria del hurto de automotores y motocicletas, se mide en unidades.</t>
  </si>
  <si>
    <t>https://www.datos.gov.co/Seguridad-y-Defensa/HURTO-A-VEH-CULOS/csb4-y6v2/about_data</t>
  </si>
  <si>
    <t>HURTO PERSONAS</t>
  </si>
  <si>
    <t>modalidad de hurto donde el victimario utiliza diferentes medios con el fin de apoderarse de los elementos de valor que lleva consigo una persona, se mide en víctimas.</t>
  </si>
  <si>
    <t>https://www.datos.gov.co/Seguridad-y-Defensa/HURTO-PERSONAS/4rxi-8m8d/about_data</t>
  </si>
  <si>
    <t>HURTO A RESIDENCIAS</t>
  </si>
  <si>
    <t>modalidad en la que el victimario utiliza diferentes medios con el fin de apoderarse de los elementos que existan en el interior de una vivienda.</t>
  </si>
  <si>
    <t>https://www.datos.gov.co/Seguridad-y-Defensa/HURTO-A-RESIDENCIAS/7mn7-vzqp/about_data</t>
  </si>
  <si>
    <t>HURTO A COMERCIO</t>
  </si>
  <si>
    <t>modalidad en la que el victimario utiliza diferentes medios con el fin de ingresar a un establecimiento comercial o industrial para apoderarse de los elementos de valor que posea el comercio o el producto de su actividad social, se mide en intervinientes (víctimas)</t>
  </si>
  <si>
    <t>https://www.datos.gov.co/dataset/HURTO-A-COMERCIO/7i2x-h5vp/about_data</t>
  </si>
  <si>
    <t>HURTO A ENTIDADES FINANCIERAS</t>
  </si>
  <si>
    <t>Acciones delincuenciales mediante las cuales, ejerciendo violencia sobre las personas o las cosas, con penetración o permanencia arbitraria, engañosa o clandestina y violando o superando seguridades electrónicas o de otro tipo, proceden a apoderarse del dinero de una entidad financiera. (art. 239 Hurto. según el Código Penal Colombiano, Ley 599 de 2000, se define como “el que se apodere de una cosa mueble ajena, con el propósito de obtener provecho para sí o para otro”.)</t>
  </si>
  <si>
    <t>https://www.datos.gov.co/Seguridad-y-Defensa/HURTO-A-ENTIDADES-FINANCIERAS/i7h7-wmjc/about_data</t>
  </si>
  <si>
    <t>Reporte Capturas Policía Nacional</t>
  </si>
  <si>
    <t>En este conjunto de datos la ciudadanía puede encontrar información de las Capturas desde el 01 de enero del año 2010 al 31 de octubre del año 2025.
Fuente: DIJIN - Policía Nacional. Datos extraídos el día 26 de noviembre del 2025 a las 10:29 horas. Cifras sujetas a variación, en proceso de integración y consolidación con información de fiscalía general de la nación.
Señor usuario si encuentra alguna inconsistencia en la información publicada, no la puede hacer saber atreves del correo electrónico Dijin.aicri-jef@policia.gov.co</t>
  </si>
  <si>
    <t>https://www.datos.gov.co/Seguridad-y-Defensa/Reporte-Capturas-Polic-a-Nacional/3jdh-nmwu/about_data</t>
  </si>
  <si>
    <t>HOMICIDIO</t>
  </si>
  <si>
    <t>Es toda muerte que fuere causada por otra persona por cualquier tipo de elemento. (Se mide en víctimas).
Incluye: HOMICIDIO INTENCIONAL</t>
  </si>
  <si>
    <t>https://www.datos.gov.co/Seguridad-y-Defensa/HOMICIDIO/m8fd-ahd9/about_data</t>
  </si>
  <si>
    <t>DELITOS SEXUALES</t>
  </si>
  <si>
    <t>Son todos aquellos comprendidos en el Título IV “Delitos contra la libertad, integridad y formación sexuales” del Código Penal Colombiano, Ley 599 de 2000 (art. 205 al 219), que incluye los delitos relacionados con la violación, actos sexuales abusivos y de la explotación sexual. Se mide en víctimas.</t>
  </si>
  <si>
    <t>https://www.datos.gov.co/Seguridad-y-Defensa/DELITOS-SEXUALES/bz43-8ahq/about_data</t>
  </si>
  <si>
    <t>Reporte Incautación de Armas de Fuego Policía Nacional</t>
  </si>
  <si>
    <t>En este conjunto de datos la ciudadanía puede encontrará información de Incautación de Armas de Fuego desde 01 de enero del año 2010 al 31 de octubre del año 2025.
Fuente: DIJIN - Policía Nacional. Datos extraídos el día 27 de noviembre del 2025 a las 10:00 horas. Cifras sujetas a variación, en proceso de integración y consolidación con información de fiscalía general de la nación.
Señor usuario si encuentra alguna inconsistencia en la información publicada, no la puede hacer saber atrves del correo electrónico Dijin.aicri-jef@policia.gov.co</t>
  </si>
  <si>
    <t>https://www.datos.gov.co/Seguridad-y-Defensa/Reporte-Incautaci-n-de-Armas-de-Fuego-Polic-a-Naci/2iz5-9bbz/about_data</t>
  </si>
  <si>
    <t>Terrorismo y financiación del terrorismo (FT)</t>
  </si>
  <si>
    <t>MASACRES</t>
  </si>
  <si>
    <t>No es un tipo penal, es una categoría especial para hacer un seguimiento al fenómeno. Se entiende por masacre el homicidio intencional y simultáneo de 3 o más personas en estado de indefensión en iguales circunstancias de tiempo, modo y lugar, por el mismo autor y que se distingue por la exposición pública de la violencia. No se incluirán los casos ni víctimas resultado de enfrentamientos entre grupos criminales. Se mide en casos y víctimas. Con el propósito de no afectar los comparativos históricos, este nuevo conteo se verá reflejado en los datos a partir del año 2022, para años anteriores, se tendrá en cuenta el concepto de homicidios colectivos, por lo cual no son comparables.</t>
  </si>
  <si>
    <t>https://www.datos.gov.co/Seguridad-y-Defensa/MASACRES/u8eq-92tb/about_data</t>
  </si>
  <si>
    <t>VOLADURA DE PUENTES Y VÍAS</t>
  </si>
  <si>
    <t>Vías públicas y puentes vehiculares públicos destruidos o afectados producto de un ataque contra este tipo de infraestructura.</t>
  </si>
  <si>
    <t>https://www.datos.gov.co/Seguridad-y-Defensa/VOLADURA-DE-PUENTES-Y-V-AS/m98b-cdys/about_data</t>
  </si>
  <si>
    <t>Eventos Minas Antipersonal en Colombia</t>
  </si>
  <si>
    <t>Base de datos con los eventos por presencia o sospecha de presencia de minas antipersonal (MAP), artefactos explosivos improvisado (AEI) con características de minas antipersonal y municiones sin explotar (MUSE) en Colombia en el periodo comprendido entre 1990 al mes anterior de la fecha de corte.</t>
  </si>
  <si>
    <t>https://www.datos.gov.co/Inclusi-n-Social-y-Reconciliaci-n/Eventos-Minas-Antipersonal-en-Colombia/sgp4-3e6k/about_data</t>
  </si>
  <si>
    <t>Departamento Administrativo de la Presidencia de la República - DAPRE</t>
  </si>
  <si>
    <t>Semestral</t>
  </si>
  <si>
    <t>VOLADURA DE OLEDUCTOS</t>
  </si>
  <si>
    <t>Afectación a la infraestructura crítica: voladura de oleoductos</t>
  </si>
  <si>
    <t>https://www.datos.gov.co/Seguridad-y-Defensa/VOLADURA-DE-OLEDUCTOS/ec2r-4byk/about_data</t>
  </si>
  <si>
    <t>TERRORISMO</t>
  </si>
  <si>
    <t>El que provoque o mantenga en estado de zozobra o terror a la población o a un sector de ella, mediante actos que pongan en peligro la vida, la integridad física o la libertad de las personas o las edificaciones o medios de comunicación, transporte, procesamiento o conducción de fluidos o fuerzas motrices, valiéndose de medios capaces de causar estragos (Ley 599 de 2000, artículo 343). Se mide en casos.</t>
  </si>
  <si>
    <t>https://www.datos.gov.co/Seguridad-y-Defensa/TERRORISMO/yi5j-5fe9/about_data</t>
  </si>
  <si>
    <t xml:space="preserve"> Trata de personas y tráfico de migrantes</t>
  </si>
  <si>
    <t>TRATA DE PERSONAS</t>
  </si>
  <si>
    <t>Trata de personas: se incluyen dos delitos (tráfico de migrantes, trata de personas), comprendidos en el Título III del Capitulo quinto del Código penal. Estos delitos se consideraron debido a su relación con la autonomía personal, especialmente en las zonas de frontera.
• Tráfico de migrantes (Artículo 188 – CP). el que promueve, induzca, constriña, facilite, colabore o de cualquier otra forma participe en la entrada o salida de personas del país sin el cumplimiento de los requisitos legales.
• Trata de personas. (Artículo 188A – CP). El que capte, traslade, acoja o reciba a una persona, dentro del territorio nacional o hacia el exterior, con fines de explotación.</t>
  </si>
  <si>
    <t>https://www.datos.gov.co/Seguridad-y-Defensa/TRATA-DE-PERSONAS/95c7-mm6s/about_data</t>
  </si>
  <si>
    <t>Corrupción y delitos contra la administración pública</t>
  </si>
  <si>
    <t>https://www.datos.gov.co/Justicia-y-Derecho/Conteo-de-Procesos-V2/6d52-qyqg/about_data</t>
  </si>
  <si>
    <t xml:space="preserve">Fiscalía General de la Nación </t>
  </si>
  <si>
    <t>Relevancia en términos de riesgo LA/FT</t>
  </si>
  <si>
    <t>Genera grandes flujos de dinero en efectivo difíciles de rastrear, que suelen ser canalizados al sistema financiero para dar apariencia de legalidad. Además, es una actividad frecuentemente controlada por grupos armados organizados, lo que la vincula directamente con la financiación del terrorismo.</t>
  </si>
  <si>
    <t>Es una de las principales fuentes de recursos ilícitos a nivel global. Produce altas ganancias que requieren ser lavadas mediante estructuras complejas (empresas fachada, comercio internacional, etc.), siendo un motor central del lavado de activos.</t>
  </si>
  <si>
    <t>Actividades como la deforestación ilegal, tráfico de fauna o explotación ilícita de recursos naturales generan rentas ilegales que son introducidas al sistema económico formal, muchas veces con baja detección, ampliando el riesgo LA/FT.</t>
  </si>
  <si>
    <t>Extorsión y control territorial</t>
  </si>
  <si>
    <t>Permite a organizaciones criminales obtener ingresos constantes mediante coacción. Estos recursos suelen ser utilizados para sostener estructuras criminales o terroristas y posteriormente son objeto de procesos de lavado.</t>
  </si>
  <si>
    <t>Contrabando y economías logísticas ilegales</t>
  </si>
  <si>
    <t>Facilitan el movimiento de mercancías y dinero sin control estatal, permitiendo ocultar ingresos ilícitos, evadir impuestos y mezclar recursos legales e ilegales, lo cual incrementa el riesgo de lavado de activos.</t>
  </si>
  <si>
    <t>Aunque no siempre genera recursos directamente, es un indicador clave de presencia de economías ilegales. Altos niveles de violencia suelen correlacionarse con actividades criminales que requieren lavado de activos y pueden financiar estructuras ilegales.</t>
  </si>
  <si>
    <t>Involucra la captación, manejo o uso de recursos con fines terroristas. Estos fondos pueden tener origen ilícito o incluso lícito, pero su destino los convierte en un riesgo crítico dentro del sistema LA/FT.</t>
  </si>
  <si>
    <t>Trata de personas y tráfico de migrantes</t>
  </si>
  <si>
    <t>Generan ingresos ilícitos mediante la explotación humana. Estos recursos son canalizados a través de redes internacionales, lo que incrementa la complejidad de su detección y su vinculación con el lavado de activos.</t>
  </si>
  <si>
    <t>Permiten desviar recursos públicos o recibir sobornos que luego deben ser ocultados o legitimados. Además, facilitan otras actividades ilícitas al debilitar los controles institucionales, amplificando el riesgo LA/FT.</t>
  </si>
  <si>
    <t>Municipios calificado con criterios en nivel de riesgo bajo o medio</t>
  </si>
  <si>
    <t>Municipios con información de riesgo de LA/FT o calificado en algunos criterios en nivel de riesgo medio</t>
  </si>
  <si>
    <t>Municipios con información relevante de riesgo de LA/FT y calificado en algún criterio en nivel de riesgo alto y/o medio</t>
  </si>
  <si>
    <t>Municipios con información relevante de mayor riesgo de LA/FT</t>
  </si>
  <si>
    <t xml:space="preserve">MUY ALTO     
</t>
  </si>
  <si>
    <t xml:space="preserve">RIESGO ALTO
</t>
  </si>
  <si>
    <t xml:space="preserve">RIESGO MEDIO 
</t>
  </si>
  <si>
    <t xml:space="preserve">RIESGO BAJO
</t>
  </si>
  <si>
    <t>PREFIJO</t>
  </si>
  <si>
    <t>MIEX</t>
  </si>
  <si>
    <t>NARC</t>
  </si>
  <si>
    <t>AMBI</t>
  </si>
  <si>
    <t>EXTC</t>
  </si>
  <si>
    <t>CONT</t>
  </si>
  <si>
    <t>VCSC</t>
  </si>
  <si>
    <t>TFT</t>
  </si>
  <si>
    <t>TRAT</t>
  </si>
  <si>
    <t>CORR</t>
  </si>
  <si>
    <t>Conteo de Procesos V2 
DELITOS DCAP</t>
  </si>
  <si>
    <t>MIEX_INC_MAQ</t>
  </si>
  <si>
    <t>MIEX_CAP_MIN</t>
  </si>
  <si>
    <t>MIEX_INC_ORM</t>
  </si>
  <si>
    <t>MIEX_INT_MIN</t>
  </si>
  <si>
    <t>NARC_DET_COC</t>
  </si>
  <si>
    <t>NARC_INC_BASE</t>
  </si>
  <si>
    <t>NARC_INC_COCA</t>
  </si>
  <si>
    <t xml:space="preserve">NARC_INC_MARI
</t>
  </si>
  <si>
    <t>NARC_DES_LAB</t>
  </si>
  <si>
    <t>NARC_INC_ILIQ</t>
  </si>
  <si>
    <t xml:space="preserve">NARC_INC_ISOL
</t>
  </si>
  <si>
    <t>NARC_INC_BASC</t>
  </si>
  <si>
    <t>NARC_INC_HERO</t>
  </si>
  <si>
    <t>AMBI_CNT_EVE</t>
  </si>
  <si>
    <t>EXTC_CNT_EXT</t>
  </si>
  <si>
    <t>EXTC_CNT_SEC</t>
  </si>
  <si>
    <t xml:space="preserve">CONT_EVE_PIRT
</t>
  </si>
  <si>
    <t>VCSC_CNT_HV</t>
  </si>
  <si>
    <t>VCSC_CNT_HP</t>
  </si>
  <si>
    <t>VCSC_CNT_HR</t>
  </si>
  <si>
    <t>VCSC_CNT_HC</t>
  </si>
  <si>
    <t>VCSC_CNT_HEF</t>
  </si>
  <si>
    <t>VCSC_REP_CAP</t>
  </si>
  <si>
    <t>VCSC_CNT_HOMI</t>
  </si>
  <si>
    <t>VCSC_CNT_DSX</t>
  </si>
  <si>
    <t>VCSC_REP_ARM</t>
  </si>
  <si>
    <t>TFT_EVE_MASC</t>
  </si>
  <si>
    <t>TFT_EVE_VPV</t>
  </si>
  <si>
    <t>TFT_EVE_MAP</t>
  </si>
  <si>
    <t>TFT_EVE_OLE</t>
  </si>
  <si>
    <t>TFT_CNT_TERR</t>
  </si>
  <si>
    <t>TRAT_CNT_TRAT</t>
  </si>
  <si>
    <t xml:space="preserve">CORR_CNT_PROC
</t>
  </si>
  <si>
    <t>CONT_JUD_PROC</t>
  </si>
  <si>
    <t>Total de noticias criminales por delito registrados en el Sistema Penal Oral Acusatorio en la Ley 906 de 2004 y Ley 1098 de 2006 desde hechos ocurridos en 2010.
Los datos son consultados de tal forma que  solo tome casos de contrabando  que NO terminaron archivados ni precluidos y que están en etapas muy avanzadas (ejecución de penas / terminación anticipada).</t>
  </si>
  <si>
    <t>Fiscalía General de la Nación</t>
  </si>
  <si>
    <t>Conteo de Procesos V2
DELITOS CONTRABANDO</t>
  </si>
  <si>
    <t xml:space="preserve">Total de noticias criminales por delito registrados en el Sistema Penal Oral Acusatorio en la Ley 906 de 2004 y Ley 1098 de 2006 desde hechos ocurridos en 2010.
Importante en el campo delito desagregar por los delitos asoaciados a DCAP. Se consulta procesos penales que estén activos, con criminalidad, sin archivo ni preclusión, en etapas finales, filtrando solo delitos contra la administración pública (Título XV del CP) mediante patrones de texto y excluyendo delitos comunes “colados”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</si>
</sst>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u/>
      <sz val="11"/>
      <color theme="10"/>
      <name val="Aptos Narrow"/>
      <family val="2"/>
      <scheme val="minor"/>
    </font>
    <font>
      <b/>
      <sz val="9"/>
      <color indexed="81"/>
      <name val="Tahoma"/>
      <family val="2"/>
    </font>
    <font>
      <sz val="10"/>
      <name val="Arial"/>
      <family val="2"/>
    </font>
    <font>
      <b/>
      <sz val="12"/>
      <name val="Arial"/>
      <family val="2"/>
    </font>
    <font>
      <b/>
      <sz val="10"/>
      <name val="Arial"/>
      <family val="2"/>
    </font>
    <font>
      <b/>
      <sz val="11"/>
      <name val="Arial"/>
      <family val="2"/>
    </font>
    <font>
      <b/>
      <sz val="10"/>
      <color indexed="9"/>
      <name val="Arial"/>
      <family val="2"/>
    </font>
    <font>
      <b/>
      <sz val="10"/>
      <color theme="0"/>
      <name val="Arial"/>
      <family val="2"/>
    </font>
    <font>
      <sz val="10"/>
      <color theme="0"/>
      <name val="Arial"/>
      <family val="2"/>
    </font>
    <font>
      <sz val="9"/>
      <color indexed="81"/>
      <name val="Tahoma"/>
      <family val="2"/>
    </font>
    <font>
      <sz val="7"/>
      <color theme="1"/>
      <name val="Arial"/>
      <family val="2"/>
    </font>
    <font>
      <b/>
      <sz val="14"/>
      <color theme="1"/>
      <name val="Arial"/>
      <family val="2"/>
    </font>
    <font>
      <b/>
      <sz val="14"/>
      <color theme="1"/>
      <name val="Aptos Narrow"/>
      <family val="2"/>
      <scheme val="minor"/>
    </font>
    <font>
      <sz val="7"/>
      <color theme="1"/>
      <name val="Segoe UI"/>
      <family val="2"/>
    </font>
    <font>
      <sz val="12"/>
      <name val="Arial"/>
      <family val="2"/>
    </font>
    <font>
      <sz val="10"/>
      <color theme="1"/>
      <name val="Arial"/>
      <family val="2"/>
    </font>
    <font>
      <b/>
      <sz val="10"/>
      <color theme="1"/>
      <name val="Arial"/>
      <family val="2"/>
    </font>
    <font>
      <sz val="10"/>
      <color theme="1"/>
      <name val="Aptos Narrow"/>
      <family val="2"/>
      <scheme val="minor"/>
    </font>
    <font>
      <sz val="8"/>
      <name val="Arial"/>
      <family val="2"/>
    </font>
    <font>
      <sz val="10"/>
      <name val="Aptos Narrow"/>
      <family val="2"/>
      <scheme val="minor"/>
    </font>
    <font>
      <b/>
      <sz val="11"/>
      <color rgb="FF000000"/>
      <name val="Aptos Narrow"/>
      <family val="2"/>
      <scheme val="minor"/>
    </font>
    <font>
      <sz val="11"/>
      <color rgb="FF000000"/>
      <name val="Aptos Narrow"/>
      <family val="2"/>
      <scheme val="minor"/>
    </font>
    <font>
      <sz val="11"/>
      <color theme="1"/>
      <name val="Segoe UI"/>
      <family val="2"/>
    </font>
    <font>
      <b/>
      <sz val="11"/>
      <color theme="1"/>
      <name val="Segoe UI"/>
      <family val="2"/>
    </font>
  </fonts>
  <fills count="10">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rgb="FFFF0000"/>
        <bgColor indexed="64"/>
      </patternFill>
    </fill>
    <fill>
      <patternFill patternType="solid">
        <fgColor indexed="53"/>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00FF00"/>
        <bgColor indexed="64"/>
      </patternFill>
    </fill>
    <fill>
      <patternFill patternType="solid">
        <fgColor rgb="FFC00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rgb="FFE6E6E6"/>
      </left>
      <right style="medium">
        <color rgb="FFE6E6E6"/>
      </right>
      <top style="medium">
        <color rgb="FFE6E6E6"/>
      </top>
      <bottom style="medium">
        <color rgb="FFE6E6E6"/>
      </bottom>
      <diagonal/>
    </border>
  </borders>
  <cellStyleXfs count="6">
    <xf numFmtId="0" fontId="0"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4" fillId="0" borderId="0"/>
    <xf numFmtId="0" fontId="2" fillId="0" borderId="0" applyNumberFormat="0" applyFill="0" applyBorder="0" applyAlignment="0" applyProtection="0"/>
  </cellStyleXfs>
  <cellXfs count="71">
    <xf numFmtId="0" fontId="0" fillId="0" borderId="0" xfId="0"/>
    <xf numFmtId="0" fontId="0" fillId="0" borderId="0" xfId="0" applyAlignment="1">
      <alignment wrapText="1"/>
    </xf>
    <xf numFmtId="0" fontId="12" fillId="0" borderId="0" xfId="0" applyFont="1" applyAlignment="1">
      <alignment wrapText="1"/>
    </xf>
    <xf numFmtId="0" fontId="2" fillId="0" borderId="0" xfId="1" applyAlignment="1">
      <alignment wrapText="1"/>
    </xf>
    <xf numFmtId="0" fontId="13" fillId="0" borderId="0" xfId="0" applyFont="1" applyAlignment="1">
      <alignment wrapText="1"/>
    </xf>
    <xf numFmtId="0" fontId="14" fillId="0" borderId="0" xfId="0" applyFont="1"/>
    <xf numFmtId="0" fontId="15" fillId="0" borderId="0" xfId="0" applyFont="1" applyAlignment="1">
      <alignment vertical="center"/>
    </xf>
    <xf numFmtId="0" fontId="13" fillId="0" borderId="0" xfId="0" applyFont="1" applyAlignment="1">
      <alignment vertical="top" wrapText="1"/>
    </xf>
    <xf numFmtId="0" fontId="12" fillId="0" borderId="0" xfId="0" applyFont="1" applyAlignment="1">
      <alignment vertical="top" wrapText="1"/>
    </xf>
    <xf numFmtId="0" fontId="4" fillId="0" borderId="3" xfId="0" applyFont="1" applyBorder="1" applyAlignment="1">
      <alignment horizontal="center" vertical="center" wrapText="1"/>
    </xf>
    <xf numFmtId="0" fontId="4" fillId="0" borderId="0" xfId="4"/>
    <xf numFmtId="0" fontId="4" fillId="0" borderId="0" xfId="0" applyFont="1" applyAlignment="1">
      <alignment horizontal="center" vertical="center" wrapText="1"/>
    </xf>
    <xf numFmtId="0" fontId="16" fillId="0" borderId="0" xfId="0" applyFont="1" applyAlignment="1">
      <alignment wrapText="1"/>
    </xf>
    <xf numFmtId="0" fontId="8" fillId="3" borderId="1" xfId="4" applyFont="1" applyFill="1" applyBorder="1" applyAlignment="1">
      <alignment horizontal="center" vertical="center" wrapText="1"/>
    </xf>
    <xf numFmtId="0" fontId="17" fillId="0" borderId="5" xfId="0" applyFont="1" applyBorder="1"/>
    <xf numFmtId="1" fontId="18" fillId="0" borderId="5" xfId="0" applyNumberFormat="1" applyFont="1" applyBorder="1" applyAlignment="1">
      <alignment horizontal="center"/>
    </xf>
    <xf numFmtId="0" fontId="17" fillId="0" borderId="1" xfId="0" applyFont="1" applyBorder="1"/>
    <xf numFmtId="1" fontId="17" fillId="0" borderId="1" xfId="0" applyNumberFormat="1" applyFont="1" applyBorder="1" applyAlignment="1">
      <alignment horizontal="center" vertical="center"/>
    </xf>
    <xf numFmtId="0" fontId="17" fillId="0" borderId="9" xfId="0" applyFont="1" applyBorder="1"/>
    <xf numFmtId="1" fontId="18" fillId="0" borderId="9" xfId="0" applyNumberFormat="1" applyFont="1" applyBorder="1" applyAlignment="1">
      <alignment horizontal="center"/>
    </xf>
    <xf numFmtId="0" fontId="17" fillId="0" borderId="13" xfId="0" applyFont="1" applyBorder="1"/>
    <xf numFmtId="1" fontId="17" fillId="0" borderId="13" xfId="0" applyNumberFormat="1" applyFont="1" applyBorder="1" applyAlignment="1">
      <alignment horizontal="center" vertical="center"/>
    </xf>
    <xf numFmtId="1" fontId="6" fillId="6" borderId="1" xfId="4" applyNumberFormat="1" applyFont="1" applyFill="1" applyBorder="1" applyAlignment="1">
      <alignment horizontal="center" vertical="center" wrapText="1"/>
    </xf>
    <xf numFmtId="0" fontId="6" fillId="0" borderId="3" xfId="4" applyFont="1" applyBorder="1" applyAlignment="1">
      <alignment horizontal="center" vertical="center" wrapText="1"/>
    </xf>
    <xf numFmtId="0" fontId="6" fillId="0" borderId="2" xfId="4" applyFont="1" applyBorder="1" applyAlignment="1">
      <alignment horizontal="center" vertical="center" wrapText="1"/>
    </xf>
    <xf numFmtId="9" fontId="6" fillId="0" borderId="1" xfId="4" applyNumberFormat="1" applyFont="1" applyBorder="1" applyAlignment="1">
      <alignment horizontal="center" vertical="center" wrapText="1"/>
    </xf>
    <xf numFmtId="0" fontId="9" fillId="4"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22" fillId="0" borderId="0" xfId="0" applyFont="1" applyAlignment="1">
      <alignment wrapText="1"/>
    </xf>
    <xf numFmtId="0" fontId="23" fillId="0" borderId="0" xfId="0" applyFont="1" applyAlignment="1">
      <alignment wrapText="1"/>
    </xf>
    <xf numFmtId="1" fontId="18" fillId="0" borderId="18" xfId="0" applyNumberFormat="1" applyFont="1" applyBorder="1" applyAlignment="1">
      <alignment horizontal="center"/>
    </xf>
    <xf numFmtId="1" fontId="17" fillId="0" borderId="19" xfId="0" applyNumberFormat="1" applyFont="1" applyBorder="1" applyAlignment="1">
      <alignment horizontal="center" vertical="center"/>
    </xf>
    <xf numFmtId="1" fontId="17" fillId="0" borderId="20" xfId="0" applyNumberFormat="1" applyFont="1" applyBorder="1" applyAlignment="1">
      <alignment horizontal="center" vertical="center"/>
    </xf>
    <xf numFmtId="1" fontId="6" fillId="6" borderId="5" xfId="4" applyNumberFormat="1" applyFont="1" applyFill="1" applyBorder="1" applyAlignment="1">
      <alignment horizontal="center" vertical="center" wrapText="1"/>
    </xf>
    <xf numFmtId="0" fontId="2" fillId="0" borderId="0" xfId="1" applyFill="1" applyAlignment="1">
      <alignment wrapText="1"/>
    </xf>
    <xf numFmtId="0" fontId="24" fillId="0" borderId="23" xfId="0" applyFont="1" applyBorder="1" applyAlignment="1">
      <alignment vertical="center" wrapText="1"/>
    </xf>
    <xf numFmtId="0" fontId="25" fillId="0" borderId="23" xfId="0" applyFont="1" applyBorder="1" applyAlignment="1">
      <alignment vertical="center" wrapText="1"/>
    </xf>
    <xf numFmtId="0" fontId="12" fillId="2" borderId="0" xfId="0" applyFont="1" applyFill="1" applyAlignment="1">
      <alignment wrapText="1"/>
    </xf>
    <xf numFmtId="0" fontId="15" fillId="2" borderId="0" xfId="0" applyFont="1" applyFill="1" applyAlignment="1">
      <alignment vertical="center"/>
    </xf>
    <xf numFmtId="0" fontId="12" fillId="2" borderId="0" xfId="0" applyFont="1" applyFill="1" applyAlignment="1">
      <alignment vertical="top" wrapText="1"/>
    </xf>
    <xf numFmtId="0" fontId="0" fillId="2" borderId="0" xfId="0" applyFill="1"/>
    <xf numFmtId="0" fontId="12" fillId="9" borderId="0" xfId="0" applyFont="1" applyFill="1" applyAlignment="1">
      <alignment wrapText="1"/>
    </xf>
    <xf numFmtId="0" fontId="12" fillId="9" borderId="0" xfId="0" applyFont="1" applyFill="1" applyAlignment="1">
      <alignment vertical="top" wrapText="1"/>
    </xf>
    <xf numFmtId="0" fontId="2" fillId="9" borderId="0" xfId="1" applyFill="1" applyAlignment="1">
      <alignment wrapText="1"/>
    </xf>
    <xf numFmtId="0" fontId="0" fillId="9" borderId="0" xfId="0" applyFill="1"/>
    <xf numFmtId="0" fontId="8" fillId="3" borderId="0" xfId="4" applyFont="1" applyFill="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7" fillId="0" borderId="5" xfId="0" applyFont="1" applyBorder="1" applyAlignment="1">
      <alignment horizontal="center" vertical="center" wrapText="1"/>
    </xf>
    <xf numFmtId="0" fontId="8" fillId="5" borderId="3" xfId="4" applyFont="1" applyFill="1" applyBorder="1" applyAlignment="1">
      <alignment horizontal="center" vertical="center" wrapText="1"/>
    </xf>
    <xf numFmtId="0" fontId="8" fillId="5" borderId="2" xfId="4"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6" borderId="3" xfId="4" applyFont="1" applyFill="1" applyBorder="1" applyAlignment="1">
      <alignment horizontal="center" vertical="center" wrapText="1"/>
    </xf>
    <xf numFmtId="0" fontId="6" fillId="6" borderId="2" xfId="4" applyFont="1" applyFill="1" applyBorder="1" applyAlignment="1">
      <alignment horizontal="center" vertical="center" wrapText="1"/>
    </xf>
    <xf numFmtId="0" fontId="8" fillId="3" borderId="14" xfId="4" applyFont="1" applyFill="1" applyBorder="1" applyAlignment="1">
      <alignment horizontal="center" vertical="center" wrapText="1"/>
    </xf>
    <xf numFmtId="0" fontId="6" fillId="6" borderId="21" xfId="4" applyFont="1" applyFill="1" applyBorder="1" applyAlignment="1">
      <alignment horizontal="center" vertical="center" wrapText="1"/>
    </xf>
    <xf numFmtId="0" fontId="6" fillId="6" borderId="22" xfId="4" applyFont="1" applyFill="1" applyBorder="1" applyAlignment="1">
      <alignment horizontal="center" vertical="center" wrapText="1"/>
    </xf>
    <xf numFmtId="0" fontId="6" fillId="0" borderId="15" xfId="0" applyFont="1" applyBorder="1" applyAlignment="1">
      <alignment horizontal="center" vertical="center" wrapText="1"/>
    </xf>
    <xf numFmtId="0" fontId="8" fillId="5" borderId="16" xfId="4" applyFont="1" applyFill="1" applyBorder="1" applyAlignment="1">
      <alignment horizontal="center" vertical="center" wrapText="1"/>
    </xf>
    <xf numFmtId="0" fontId="8" fillId="5" borderId="17" xfId="4" applyFont="1" applyFill="1" applyBorder="1" applyAlignment="1">
      <alignment horizontal="center" vertical="center" wrapText="1"/>
    </xf>
  </cellXfs>
  <cellStyles count="6">
    <cellStyle name="Hipervínculo" xfId="1" builtinId="8"/>
    <cellStyle name="Hipervínculo 2" xfId="3" xr:uid="{3F142664-3F08-41D7-A2EB-DEB608C9A7FD}"/>
    <cellStyle name="Hyperlink" xfId="5" xr:uid="{00000000-000B-0000-0000-000008000000}"/>
    <cellStyle name="Normal" xfId="0" builtinId="0"/>
    <cellStyle name="Normal 10" xfId="4" xr:uid="{C9FBA83E-5D76-4697-B732-6F5DDE1BFEFA}"/>
    <cellStyle name="Normal 4" xfId="2" xr:uid="{E2B21331-E516-4C1B-971E-90BF269BD4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57150</xdr:rowOff>
    </xdr:from>
    <xdr:to>
      <xdr:col>1</xdr:col>
      <xdr:colOff>409575</xdr:colOff>
      <xdr:row>0</xdr:row>
      <xdr:rowOff>440028</xdr:rowOff>
    </xdr:to>
    <xdr:pic>
      <xdr:nvPicPr>
        <xdr:cNvPr id="2" name="WordPictureWatermark1" descr="BANCOLDEX_MEMBRETE_POLICROMIA-1">
          <a:extLst>
            <a:ext uri="{FF2B5EF4-FFF2-40B4-BE49-F238E27FC236}">
              <a16:creationId xmlns:a16="http://schemas.microsoft.com/office/drawing/2014/main" id="{575AC194-95F1-4E47-8764-63CF9B1A87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7230" t="6407" r="6496" b="87492"/>
        <a:stretch>
          <a:fillRect/>
        </a:stretch>
      </xdr:blipFill>
      <xdr:spPr bwMode="auto">
        <a:xfrm>
          <a:off x="0" y="60960"/>
          <a:ext cx="2366645" cy="382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57150</xdr:rowOff>
    </xdr:from>
    <xdr:to>
      <xdr:col>1</xdr:col>
      <xdr:colOff>409575</xdr:colOff>
      <xdr:row>0</xdr:row>
      <xdr:rowOff>440028</xdr:rowOff>
    </xdr:to>
    <xdr:pic>
      <xdr:nvPicPr>
        <xdr:cNvPr id="3" name="WordPictureWatermark1" descr="BANCOLDEX_MEMBRETE_POLICROMIA-1">
          <a:extLst>
            <a:ext uri="{FF2B5EF4-FFF2-40B4-BE49-F238E27FC236}">
              <a16:creationId xmlns:a16="http://schemas.microsoft.com/office/drawing/2014/main" id="{B6A549D6-C915-4F61-A5BF-B6FC47707F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7230" t="6407" r="6496" b="87492"/>
        <a:stretch>
          <a:fillRect/>
        </a:stretch>
      </xdr:blipFill>
      <xdr:spPr bwMode="auto">
        <a:xfrm>
          <a:off x="0" y="60960"/>
          <a:ext cx="2366645" cy="382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57150</xdr:rowOff>
    </xdr:from>
    <xdr:to>
      <xdr:col>1</xdr:col>
      <xdr:colOff>409575</xdr:colOff>
      <xdr:row>0</xdr:row>
      <xdr:rowOff>440028</xdr:rowOff>
    </xdr:to>
    <xdr:pic>
      <xdr:nvPicPr>
        <xdr:cNvPr id="2" name="WordPictureWatermark1" descr="BANCOLDEX_MEMBRETE_POLICROMIA-1">
          <a:extLst>
            <a:ext uri="{FF2B5EF4-FFF2-40B4-BE49-F238E27FC236}">
              <a16:creationId xmlns:a16="http://schemas.microsoft.com/office/drawing/2014/main" id="{23DCD1CC-D166-44AE-8195-70038C6661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7230" t="6407" r="6496" b="87492"/>
        <a:stretch>
          <a:fillRect/>
        </a:stretch>
      </xdr:blipFill>
      <xdr:spPr bwMode="auto">
        <a:xfrm>
          <a:off x="0" y="57150"/>
          <a:ext cx="2359025" cy="382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57150</xdr:rowOff>
    </xdr:from>
    <xdr:to>
      <xdr:col>1</xdr:col>
      <xdr:colOff>409575</xdr:colOff>
      <xdr:row>0</xdr:row>
      <xdr:rowOff>440028</xdr:rowOff>
    </xdr:to>
    <xdr:pic>
      <xdr:nvPicPr>
        <xdr:cNvPr id="3" name="WordPictureWatermark1" descr="BANCOLDEX_MEMBRETE_POLICROMIA-1">
          <a:extLst>
            <a:ext uri="{FF2B5EF4-FFF2-40B4-BE49-F238E27FC236}">
              <a16:creationId xmlns:a16="http://schemas.microsoft.com/office/drawing/2014/main" id="{48656C1A-45FB-457C-8F4C-555887C840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7230" t="6407" r="6496" b="87492"/>
        <a:stretch>
          <a:fillRect/>
        </a:stretch>
      </xdr:blipFill>
      <xdr:spPr bwMode="auto">
        <a:xfrm>
          <a:off x="0" y="57150"/>
          <a:ext cx="2359025" cy="382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398780</xdr:colOff>
      <xdr:row>2</xdr:row>
      <xdr:rowOff>93980</xdr:rowOff>
    </xdr:from>
    <xdr:to>
      <xdr:col>14</xdr:col>
      <xdr:colOff>219710</xdr:colOff>
      <xdr:row>38</xdr:row>
      <xdr:rowOff>38100</xdr:rowOff>
    </xdr:to>
    <xdr:sp macro="" textlink="">
      <xdr:nvSpPr>
        <xdr:cNvPr id="2" name="CuadroTexto 1">
          <a:extLst>
            <a:ext uri="{FF2B5EF4-FFF2-40B4-BE49-F238E27FC236}">
              <a16:creationId xmlns:a16="http://schemas.microsoft.com/office/drawing/2014/main" id="{A5CBAD7F-377F-673C-E40E-18E601CD1511}"/>
            </a:ext>
          </a:extLst>
        </xdr:cNvPr>
        <xdr:cNvSpPr txBox="1"/>
      </xdr:nvSpPr>
      <xdr:spPr>
        <a:xfrm>
          <a:off x="1160780" y="459740"/>
          <a:ext cx="9726930" cy="652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CO" sz="1100" b="0" i="0">
              <a:solidFill>
                <a:schemeClr val="dk1"/>
              </a:solidFill>
              <a:effectLst/>
              <a:latin typeface="+mn-lt"/>
              <a:ea typeface="+mn-ea"/>
              <a:cs typeface="+mn-cs"/>
            </a:rPr>
            <a:t>El </a:t>
          </a:r>
          <a:r>
            <a:rPr lang="es-CO" sz="1100" b="1" i="0">
              <a:solidFill>
                <a:schemeClr val="dk1"/>
              </a:solidFill>
              <a:effectLst/>
              <a:latin typeface="+mn-lt"/>
              <a:ea typeface="+mn-ea"/>
              <a:cs typeface="+mn-cs"/>
            </a:rPr>
            <a:t>primer bloque (CONCEPTO)</a:t>
          </a:r>
          <a:r>
            <a:rPr lang="es-CO" sz="1100" b="0" i="0">
              <a:solidFill>
                <a:schemeClr val="dk1"/>
              </a:solidFill>
              <a:effectLst/>
              <a:latin typeface="+mn-lt"/>
              <a:ea typeface="+mn-ea"/>
              <a:cs typeface="+mn-cs"/>
            </a:rPr>
            <a:t> identifica el </a:t>
          </a:r>
          <a:r>
            <a:rPr lang="es-CO" sz="1100" b="1" i="0">
              <a:solidFill>
                <a:schemeClr val="dk1"/>
              </a:solidFill>
              <a:effectLst/>
              <a:latin typeface="+mn-lt"/>
              <a:ea typeface="+mn-ea"/>
              <a:cs typeface="+mn-cs"/>
            </a:rPr>
            <a:t>fenómeno criminal o ámbito analítico principal</a:t>
          </a:r>
          <a:r>
            <a:rPr lang="es-CO" sz="1100" b="0" i="0">
              <a:solidFill>
                <a:schemeClr val="dk1"/>
              </a:solidFill>
              <a:effectLst/>
              <a:latin typeface="+mn-lt"/>
              <a:ea typeface="+mn-ea"/>
              <a:cs typeface="+mn-cs"/>
            </a:rPr>
            <a:t> al que pertenece la variable. Se expresa mediante una abreviatura estandarizada (por ejemplo, </a:t>
          </a:r>
          <a:r>
            <a:rPr lang="es-CO" sz="1100" b="0" i="1">
              <a:solidFill>
                <a:schemeClr val="dk1"/>
              </a:solidFill>
              <a:effectLst/>
              <a:latin typeface="+mn-lt"/>
              <a:ea typeface="+mn-ea"/>
              <a:cs typeface="+mn-cs"/>
            </a:rPr>
            <a:t>MIEX</a:t>
          </a:r>
          <a:r>
            <a:rPr lang="es-CO" sz="1100" b="0" i="0">
              <a:solidFill>
                <a:schemeClr val="dk1"/>
              </a:solidFill>
              <a:effectLst/>
              <a:latin typeface="+mn-lt"/>
              <a:ea typeface="+mn-ea"/>
              <a:cs typeface="+mn-cs"/>
            </a:rPr>
            <a:t> para minería ilegal, </a:t>
          </a:r>
          <a:r>
            <a:rPr lang="es-CO" sz="1100" b="0" i="1">
              <a:solidFill>
                <a:schemeClr val="dk1"/>
              </a:solidFill>
              <a:effectLst/>
              <a:latin typeface="+mn-lt"/>
              <a:ea typeface="+mn-ea"/>
              <a:cs typeface="+mn-cs"/>
            </a:rPr>
            <a:t>NARC</a:t>
          </a:r>
          <a:r>
            <a:rPr lang="es-CO" sz="1100" b="0" i="0">
              <a:solidFill>
                <a:schemeClr val="dk1"/>
              </a:solidFill>
              <a:effectLst/>
              <a:latin typeface="+mn-lt"/>
              <a:ea typeface="+mn-ea"/>
              <a:cs typeface="+mn-cs"/>
            </a:rPr>
            <a:t> para narcotráfico, </a:t>
          </a:r>
          <a:r>
            <a:rPr lang="es-CO" sz="1100" b="0" i="1">
              <a:solidFill>
                <a:schemeClr val="dk1"/>
              </a:solidFill>
              <a:effectLst/>
              <a:latin typeface="+mn-lt"/>
              <a:ea typeface="+mn-ea"/>
              <a:cs typeface="+mn-cs"/>
            </a:rPr>
            <a:t>TFT</a:t>
          </a:r>
          <a:r>
            <a:rPr lang="es-CO" sz="1100" b="0" i="0">
              <a:solidFill>
                <a:schemeClr val="dk1"/>
              </a:solidFill>
              <a:effectLst/>
              <a:latin typeface="+mn-lt"/>
              <a:ea typeface="+mn-ea"/>
              <a:cs typeface="+mn-cs"/>
            </a:rPr>
            <a:t> para terrorismo y financiación del terrorismo, </a:t>
          </a:r>
          <a:r>
            <a:rPr lang="es-CO" sz="1100" b="0" i="1">
              <a:solidFill>
                <a:schemeClr val="dk1"/>
              </a:solidFill>
              <a:effectLst/>
              <a:latin typeface="+mn-lt"/>
              <a:ea typeface="+mn-ea"/>
              <a:cs typeface="+mn-cs"/>
            </a:rPr>
            <a:t>VCSC</a:t>
          </a:r>
          <a:r>
            <a:rPr lang="es-CO" sz="1100" b="0" i="0">
              <a:solidFill>
                <a:schemeClr val="dk1"/>
              </a:solidFill>
              <a:effectLst/>
              <a:latin typeface="+mn-lt"/>
              <a:ea typeface="+mn-ea"/>
              <a:cs typeface="+mn-cs"/>
            </a:rPr>
            <a:t> para violencia y seguridad ciudadana como contexto). Este bloque responde a la pregunta: </a:t>
          </a:r>
          <a:r>
            <a:rPr lang="es-CO" sz="1100" b="1" i="0">
              <a:solidFill>
                <a:schemeClr val="dk1"/>
              </a:solidFill>
              <a:effectLst/>
              <a:latin typeface="+mn-lt"/>
              <a:ea typeface="+mn-ea"/>
              <a:cs typeface="+mn-cs"/>
            </a:rPr>
            <a:t>¿de qué tipo de riesgo o fenómeno estamos hablando?</a:t>
          </a:r>
          <a:r>
            <a:rPr lang="es-CO" sz="1100" b="0" i="0">
              <a:solidFill>
                <a:schemeClr val="dk1"/>
              </a:solidFill>
              <a:effectLst/>
              <a:latin typeface="+mn-lt"/>
              <a:ea typeface="+mn-ea"/>
              <a:cs typeface="+mn-cs"/>
            </a:rPr>
            <a:t> y permite agrupar múltiples indicadores bajo un mismo eje analítico.</a:t>
          </a:r>
        </a:p>
        <a:p>
          <a:pPr fontAlgn="t"/>
          <a:br>
            <a:rPr lang="es-CO" sz="1100" b="0" i="0">
              <a:solidFill>
                <a:schemeClr val="dk1"/>
              </a:solidFill>
              <a:effectLst/>
              <a:latin typeface="+mn-lt"/>
              <a:ea typeface="+mn-ea"/>
              <a:cs typeface="+mn-cs"/>
            </a:rPr>
          </a:br>
          <a:endParaRPr lang="es-CO" sz="1100" b="0" i="0">
            <a:solidFill>
              <a:schemeClr val="dk1"/>
            </a:solidFill>
            <a:effectLst/>
            <a:latin typeface="+mn-lt"/>
            <a:ea typeface="+mn-ea"/>
            <a:cs typeface="+mn-cs"/>
          </a:endParaRPr>
        </a:p>
        <a:p>
          <a:pPr fontAlgn="t"/>
          <a:r>
            <a:rPr lang="es-CO" sz="1100" b="0" i="0">
              <a:solidFill>
                <a:schemeClr val="dk1"/>
              </a:solidFill>
              <a:effectLst/>
              <a:latin typeface="+mn-lt"/>
              <a:ea typeface="+mn-ea"/>
              <a:cs typeface="+mn-cs"/>
            </a:rPr>
            <a:t>El </a:t>
          </a:r>
          <a:r>
            <a:rPr lang="es-CO" sz="1100" b="1" i="0">
              <a:solidFill>
                <a:schemeClr val="dk1"/>
              </a:solidFill>
              <a:effectLst/>
              <a:latin typeface="+mn-lt"/>
              <a:ea typeface="+mn-ea"/>
              <a:cs typeface="+mn-cs"/>
            </a:rPr>
            <a:t>segundo bloque (TIPO DE MEDICIÓN)</a:t>
          </a:r>
          <a:r>
            <a:rPr lang="es-CO" sz="1100" b="0" i="0">
              <a:solidFill>
                <a:schemeClr val="dk1"/>
              </a:solidFill>
              <a:effectLst/>
              <a:latin typeface="+mn-lt"/>
              <a:ea typeface="+mn-ea"/>
              <a:cs typeface="+mn-cs"/>
            </a:rPr>
            <a:t> indica </a:t>
          </a:r>
          <a:r>
            <a:rPr lang="es-CO" sz="1100" b="1" i="0">
              <a:solidFill>
                <a:schemeClr val="dk1"/>
              </a:solidFill>
              <a:effectLst/>
              <a:latin typeface="+mn-lt"/>
              <a:ea typeface="+mn-ea"/>
              <a:cs typeface="+mn-cs"/>
            </a:rPr>
            <a:t>la naturaleza de la evidencia o del dato</a:t>
          </a:r>
          <a:r>
            <a:rPr lang="es-CO" sz="1100" b="0" i="0">
              <a:solidFill>
                <a:schemeClr val="dk1"/>
              </a:solidFill>
              <a:effectLst/>
              <a:latin typeface="+mn-lt"/>
              <a:ea typeface="+mn-ea"/>
              <a:cs typeface="+mn-cs"/>
            </a:rPr>
            <a:t>, es decir, </a:t>
          </a:r>
          <a:r>
            <a:rPr lang="es-CO" sz="1100" b="1" i="0">
              <a:solidFill>
                <a:schemeClr val="dk1"/>
              </a:solidFill>
              <a:effectLst/>
              <a:latin typeface="+mn-lt"/>
              <a:ea typeface="+mn-ea"/>
              <a:cs typeface="+mn-cs"/>
            </a:rPr>
            <a:t>cómo se está observando o midiendo el fenómeno</a:t>
          </a:r>
          <a:r>
            <a:rPr lang="es-CO" sz="1100" b="0" i="0">
              <a:solidFill>
                <a:schemeClr val="dk1"/>
              </a:solidFill>
              <a:effectLst/>
              <a:latin typeface="+mn-lt"/>
              <a:ea typeface="+mn-ea"/>
              <a:cs typeface="+mn-cs"/>
            </a:rPr>
            <a:t>. Aquí se diferencian acciones operativas directas (como incautaciones, capturas o destrucciones), registros judiciales o administrativos (conteos de casos o procesos), eventos violentos (ocurrencias específicas) o mediciones técnicas (detección o estimación). Este bloque es clave porque evita mezclar, por ejemplo, </a:t>
          </a:r>
          <a:r>
            <a:rPr lang="es-CO" sz="1100" b="1" i="0">
              <a:solidFill>
                <a:schemeClr val="dk1"/>
              </a:solidFill>
              <a:effectLst/>
              <a:latin typeface="+mn-lt"/>
              <a:ea typeface="+mn-ea"/>
              <a:cs typeface="+mn-cs"/>
            </a:rPr>
            <a:t>acciones del Estado con niveles de criminalidad</a:t>
          </a:r>
          <a:r>
            <a:rPr lang="es-CO" sz="1100" b="0" i="0">
              <a:solidFill>
                <a:schemeClr val="dk1"/>
              </a:solidFill>
              <a:effectLst/>
              <a:latin typeface="+mn-lt"/>
              <a:ea typeface="+mn-ea"/>
              <a:cs typeface="+mn-cs"/>
            </a:rPr>
            <a:t>, y responde a la pregunta: </a:t>
          </a:r>
          <a:r>
            <a:rPr lang="es-CO" sz="1100" b="1" i="0">
              <a:solidFill>
                <a:schemeClr val="dk1"/>
              </a:solidFill>
              <a:effectLst/>
              <a:latin typeface="+mn-lt"/>
              <a:ea typeface="+mn-ea"/>
              <a:cs typeface="+mn-cs"/>
            </a:rPr>
            <a:t>¿qué tipo de información representa esta variable?</a:t>
          </a:r>
          <a:endParaRPr lang="es-CO" sz="1100" b="0" i="0">
            <a:solidFill>
              <a:schemeClr val="dk1"/>
            </a:solidFill>
            <a:effectLst/>
            <a:latin typeface="+mn-lt"/>
            <a:ea typeface="+mn-ea"/>
            <a:cs typeface="+mn-cs"/>
          </a:endParaRPr>
        </a:p>
        <a:p>
          <a:pPr fontAlgn="t"/>
          <a:br>
            <a:rPr lang="es-CO" sz="1100" b="0" i="0">
              <a:solidFill>
                <a:schemeClr val="dk1"/>
              </a:solidFill>
              <a:effectLst/>
              <a:latin typeface="+mn-lt"/>
              <a:ea typeface="+mn-ea"/>
              <a:cs typeface="+mn-cs"/>
            </a:rPr>
          </a:br>
          <a:endParaRPr lang="es-CO" sz="1100" b="0" i="0">
            <a:solidFill>
              <a:schemeClr val="dk1"/>
            </a:solidFill>
            <a:effectLst/>
            <a:latin typeface="+mn-lt"/>
            <a:ea typeface="+mn-ea"/>
            <a:cs typeface="+mn-cs"/>
          </a:endParaRPr>
        </a:p>
        <a:p>
          <a:pPr fontAlgn="t"/>
          <a:r>
            <a:rPr lang="es-CO" sz="1100" b="0" i="0">
              <a:solidFill>
                <a:schemeClr val="dk1"/>
              </a:solidFill>
              <a:effectLst/>
              <a:latin typeface="+mn-lt"/>
              <a:ea typeface="+mn-ea"/>
              <a:cs typeface="+mn-cs"/>
            </a:rPr>
            <a:t>El </a:t>
          </a:r>
          <a:r>
            <a:rPr lang="es-CO" sz="1100" b="1" i="0">
              <a:solidFill>
                <a:schemeClr val="dk1"/>
              </a:solidFill>
              <a:effectLst/>
              <a:latin typeface="+mn-lt"/>
              <a:ea typeface="+mn-ea"/>
              <a:cs typeface="+mn-cs"/>
            </a:rPr>
            <a:t>tercer bloque (FOCO ESPECÍFICO)</a:t>
          </a:r>
          <a:r>
            <a:rPr lang="es-CO" sz="1100" b="0" i="0">
              <a:solidFill>
                <a:schemeClr val="dk1"/>
              </a:solidFill>
              <a:effectLst/>
              <a:latin typeface="+mn-lt"/>
              <a:ea typeface="+mn-ea"/>
              <a:cs typeface="+mn-cs"/>
            </a:rPr>
            <a:t> precisa </a:t>
          </a:r>
          <a:r>
            <a:rPr lang="es-CO" sz="1100" b="1" i="0">
              <a:solidFill>
                <a:schemeClr val="dk1"/>
              </a:solidFill>
              <a:effectLst/>
              <a:latin typeface="+mn-lt"/>
              <a:ea typeface="+mn-ea"/>
              <a:cs typeface="+mn-cs"/>
            </a:rPr>
            <a:t>sobre qué elemento concreto recae la medición</a:t>
          </a:r>
          <a:r>
            <a:rPr lang="es-CO" sz="1100" b="0" i="0">
              <a:solidFill>
                <a:schemeClr val="dk1"/>
              </a:solidFill>
              <a:effectLst/>
              <a:latin typeface="+mn-lt"/>
              <a:ea typeface="+mn-ea"/>
              <a:cs typeface="+mn-cs"/>
            </a:rPr>
            <a:t>, es decir, el objeto, sustancia, infraestructura, conducta o resultado específico. Por ejemplo, distingue si una incautación fue de cocaína, marihuana, insumos químicos, armas de fuego, o si un evento corresponde a masacres, minas antipersonal o voladuras de infraestructura. Este nivel de detalle permite diferenciar </a:t>
          </a:r>
          <a:r>
            <a:rPr lang="es-CO" sz="1100" b="1" i="0">
              <a:solidFill>
                <a:schemeClr val="dk1"/>
              </a:solidFill>
              <a:effectLst/>
              <a:latin typeface="+mn-lt"/>
              <a:ea typeface="+mn-ea"/>
              <a:cs typeface="+mn-cs"/>
            </a:rPr>
            <a:t>etapas de una misma cadena ilegal</a:t>
          </a:r>
          <a:r>
            <a:rPr lang="es-CO" sz="1100" b="0" i="0">
              <a:solidFill>
                <a:schemeClr val="dk1"/>
              </a:solidFill>
              <a:effectLst/>
              <a:latin typeface="+mn-lt"/>
              <a:ea typeface="+mn-ea"/>
              <a:cs typeface="+mn-cs"/>
            </a:rPr>
            <a:t> y evita que variables conceptualmente distintas queden agregadas de forma imprecisa.</a:t>
          </a:r>
        </a:p>
        <a:p>
          <a:pPr fontAlgn="t"/>
          <a:br>
            <a:rPr lang="es-CO" sz="1100" b="0" i="0">
              <a:solidFill>
                <a:schemeClr val="dk1"/>
              </a:solidFill>
              <a:effectLst/>
              <a:latin typeface="+mn-lt"/>
              <a:ea typeface="+mn-ea"/>
              <a:cs typeface="+mn-cs"/>
            </a:rPr>
          </a:br>
          <a:endParaRPr lang="es-CO" sz="1100" b="0" i="0">
            <a:solidFill>
              <a:schemeClr val="dk1"/>
            </a:solidFill>
            <a:effectLst/>
            <a:latin typeface="+mn-lt"/>
            <a:ea typeface="+mn-ea"/>
            <a:cs typeface="+mn-cs"/>
          </a:endParaRPr>
        </a:p>
        <a:p>
          <a:pPr fontAlgn="t"/>
          <a:r>
            <a:rPr lang="es-CO" sz="1100" b="0" i="0">
              <a:solidFill>
                <a:schemeClr val="dk1"/>
              </a:solidFill>
              <a:effectLst/>
              <a:latin typeface="+mn-lt"/>
              <a:ea typeface="+mn-ea"/>
              <a:cs typeface="+mn-cs"/>
            </a:rPr>
            <a:t>El patrón completo garantiza que el codificado sea </a:t>
          </a:r>
          <a:r>
            <a:rPr lang="es-CO" sz="1100" b="1" i="0">
              <a:solidFill>
                <a:schemeClr val="dk1"/>
              </a:solidFill>
              <a:effectLst/>
              <a:latin typeface="+mn-lt"/>
              <a:ea typeface="+mn-ea"/>
              <a:cs typeface="+mn-cs"/>
            </a:rPr>
            <a:t>semánticamente consistente</a:t>
          </a:r>
          <a:r>
            <a:rPr lang="es-CO" sz="1100" b="0" i="0">
              <a:solidFill>
                <a:schemeClr val="dk1"/>
              </a:solidFill>
              <a:effectLst/>
              <a:latin typeface="+mn-lt"/>
              <a:ea typeface="+mn-ea"/>
              <a:cs typeface="+mn-cs"/>
            </a:rPr>
            <a:t>: al leerlo, un analista puede inferir inmediatamente </a:t>
          </a:r>
          <a:r>
            <a:rPr lang="es-CO" sz="1100" b="1" i="0">
              <a:solidFill>
                <a:schemeClr val="dk1"/>
              </a:solidFill>
              <a:effectLst/>
              <a:latin typeface="+mn-lt"/>
              <a:ea typeface="+mn-ea"/>
              <a:cs typeface="+mn-cs"/>
            </a:rPr>
            <a:t>el fenómeno, el tipo de dato y el foco</a:t>
          </a:r>
          <a:r>
            <a:rPr lang="es-CO" sz="1100" b="0" i="0">
              <a:solidFill>
                <a:schemeClr val="dk1"/>
              </a:solidFill>
              <a:effectLst/>
              <a:latin typeface="+mn-lt"/>
              <a:ea typeface="+mn-ea"/>
              <a:cs typeface="+mn-cs"/>
            </a:rPr>
            <a:t>, sin necesidad de consultar la descripción larga. Además, la estructura es </a:t>
          </a:r>
          <a:r>
            <a:rPr lang="es-CO" sz="1100" b="1" i="0">
              <a:solidFill>
                <a:schemeClr val="dk1"/>
              </a:solidFill>
              <a:effectLst/>
              <a:latin typeface="+mn-lt"/>
              <a:ea typeface="+mn-ea"/>
              <a:cs typeface="+mn-cs"/>
            </a:rPr>
            <a:t>escalable</a:t>
          </a:r>
          <a:r>
            <a:rPr lang="es-CO" sz="1100" b="0" i="0">
              <a:solidFill>
                <a:schemeClr val="dk1"/>
              </a:solidFill>
              <a:effectLst/>
              <a:latin typeface="+mn-lt"/>
              <a:ea typeface="+mn-ea"/>
              <a:cs typeface="+mn-cs"/>
            </a:rPr>
            <a:t>, porque admite la incorporación de nuevas variables sin romper la lógica (por ejemplo, añadir nuevas drogas, nuevas infraestructuras o nuevas fuentes judiciales).</a:t>
          </a:r>
        </a:p>
        <a:p>
          <a:pPr fontAlgn="t"/>
          <a:br>
            <a:rPr lang="es-CO" sz="1100" b="0" i="0">
              <a:solidFill>
                <a:schemeClr val="dk1"/>
              </a:solidFill>
              <a:effectLst/>
              <a:latin typeface="+mn-lt"/>
              <a:ea typeface="+mn-ea"/>
              <a:cs typeface="+mn-cs"/>
            </a:rPr>
          </a:br>
          <a:endParaRPr lang="es-CO" sz="1100" b="0" i="0">
            <a:solidFill>
              <a:schemeClr val="dk1"/>
            </a:solidFill>
            <a:effectLst/>
            <a:latin typeface="+mn-lt"/>
            <a:ea typeface="+mn-ea"/>
            <a:cs typeface="+mn-cs"/>
          </a:endParaRPr>
        </a:p>
        <a:p>
          <a:pPr fontAlgn="t"/>
          <a:r>
            <a:rPr lang="es-CO" sz="1100" b="0" i="0">
              <a:solidFill>
                <a:schemeClr val="dk1"/>
              </a:solidFill>
              <a:effectLst/>
              <a:latin typeface="+mn-lt"/>
              <a:ea typeface="+mn-ea"/>
              <a:cs typeface="+mn-cs"/>
            </a:rPr>
            <a:t>Desde el punto de vista metodológico, este esquema separa claramente </a:t>
          </a:r>
          <a:r>
            <a:rPr lang="es-CO" sz="1100" b="1" i="0">
              <a:solidFill>
                <a:schemeClr val="dk1"/>
              </a:solidFill>
              <a:effectLst/>
              <a:latin typeface="+mn-lt"/>
              <a:ea typeface="+mn-ea"/>
              <a:cs typeface="+mn-cs"/>
            </a:rPr>
            <a:t>delitos fuente de LA/FT</a:t>
          </a:r>
          <a:r>
            <a:rPr lang="es-CO" sz="1100" b="0" i="0">
              <a:solidFill>
                <a:schemeClr val="dk1"/>
              </a:solidFill>
              <a:effectLst/>
              <a:latin typeface="+mn-lt"/>
              <a:ea typeface="+mn-ea"/>
              <a:cs typeface="+mn-cs"/>
            </a:rPr>
            <a:t> (narcotráfico, terrorismo, trata, corrupción, minería ilegal) de </a:t>
          </a:r>
          <a:r>
            <a:rPr lang="es-CO" sz="1100" b="1" i="0">
              <a:solidFill>
                <a:schemeClr val="dk1"/>
              </a:solidFill>
              <a:effectLst/>
              <a:latin typeface="+mn-lt"/>
              <a:ea typeface="+mn-ea"/>
              <a:cs typeface="+mn-cs"/>
            </a:rPr>
            <a:t>variables de contexto</a:t>
          </a:r>
          <a:r>
            <a:rPr lang="es-CO" sz="1100" b="0" i="0">
              <a:solidFill>
                <a:schemeClr val="dk1"/>
              </a:solidFill>
              <a:effectLst/>
              <a:latin typeface="+mn-lt"/>
              <a:ea typeface="+mn-ea"/>
              <a:cs typeface="+mn-cs"/>
            </a:rPr>
            <a:t> (violencia, hurtos, actividad operativa), sin depender solo del nombre del indicador, sino del tipo de medición y del foco. Esto hace que el codificado sea </a:t>
          </a:r>
          <a:r>
            <a:rPr lang="es-CO" sz="1100" b="1" i="0">
              <a:solidFill>
                <a:schemeClr val="dk1"/>
              </a:solidFill>
              <a:effectLst/>
              <a:latin typeface="+mn-lt"/>
              <a:ea typeface="+mn-ea"/>
              <a:cs typeface="+mn-cs"/>
            </a:rPr>
            <a:t>defendible ante auditoría, supervisión o pares técnicos</a:t>
          </a:r>
          <a:r>
            <a:rPr lang="es-CO" sz="1100" b="0" i="0">
              <a:solidFill>
                <a:schemeClr val="dk1"/>
              </a:solidFill>
              <a:effectLst/>
              <a:latin typeface="+mn-lt"/>
              <a:ea typeface="+mn-ea"/>
              <a:cs typeface="+mn-cs"/>
            </a:rPr>
            <a:t>, porque no es arbitrario: responde a una lógica explícita y replicable.</a:t>
          </a:r>
        </a:p>
        <a:p>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3" Type="http://schemas.openxmlformats.org/officeDocument/2006/relationships/hyperlink" Target="https://www.datos.gov.co/Seguridad-y-Defensa/DELITOS-CONTRA-EL-MEDIO-AMBIENTE/9zck-qfvc/about_data" TargetMode="External"/><Relationship Id="rId18" Type="http://schemas.openxmlformats.org/officeDocument/2006/relationships/hyperlink" Target="https://www.datos.gov.co/Seguridad-y-Defensa/HURTO-PERSONAS/4rxi-8m8d/about_data" TargetMode="External"/><Relationship Id="rId26" Type="http://schemas.openxmlformats.org/officeDocument/2006/relationships/hyperlink" Target="https://www.datos.gov.co/Seguridad-y-Defensa/VOLADURA-DE-PUENTES-Y-V-AS/m98b-cdys/about_data" TargetMode="External"/><Relationship Id="rId21" Type="http://schemas.openxmlformats.org/officeDocument/2006/relationships/hyperlink" Target="https://www.datos.gov.co/Seguridad-y-Defensa/Reporte-Capturas-Polic-a-Nacional/3jdh-nmwu/about_data" TargetMode="External"/><Relationship Id="rId34" Type="http://schemas.openxmlformats.org/officeDocument/2006/relationships/hyperlink" Target="https://www.datos.gov.co/Justicia-y-Derecho/Conteo-de-Procesos-V2/6d52-qyqg/about_data" TargetMode="External"/><Relationship Id="rId7" Type="http://schemas.openxmlformats.org/officeDocument/2006/relationships/hyperlink" Target="https://www.datos.gov.co/Seguridad-y-Defensa/INCAUTACIONES-DE-COCA-NA/26zg-9p9r/about_data" TargetMode="External"/><Relationship Id="rId12" Type="http://schemas.openxmlformats.org/officeDocument/2006/relationships/hyperlink" Target="https://www.datos.gov.co/Seguridad-y-Defensa/INCAUTACI-N-DE-HERO-NA/iat2-gskt/about_data" TargetMode="External"/><Relationship Id="rId17" Type="http://schemas.openxmlformats.org/officeDocument/2006/relationships/hyperlink" Target="https://www.datos.gov.co/Seguridad-y-Defensa/HURTO-A-VEH-CULOS/csb4-y6v2/about_data" TargetMode="External"/><Relationship Id="rId25" Type="http://schemas.openxmlformats.org/officeDocument/2006/relationships/hyperlink" Target="https://www.datos.gov.co/Seguridad-y-Defensa/HURTO-A-ENTIDADES-FINANCIERAS/i7h7-wmjc/about_data" TargetMode="External"/><Relationship Id="rId33" Type="http://schemas.openxmlformats.org/officeDocument/2006/relationships/hyperlink" Target="https://www.fiscalia.gov.co/colombia/gestion/estadisticas/" TargetMode="External"/><Relationship Id="rId2" Type="http://schemas.openxmlformats.org/officeDocument/2006/relationships/hyperlink" Target="https://www.datos.gov.co/Seguridad-y-Defensa/MINAS-INTERVENIDAS/gr35-i7pm/about_data" TargetMode="External"/><Relationship Id="rId16" Type="http://schemas.openxmlformats.org/officeDocument/2006/relationships/hyperlink" Target="https://www.datos.gov.co/Seguridad-y-Defensa/PIRATER-A-TERRESTRE/sutf-7dyz/about_data" TargetMode="External"/><Relationship Id="rId20" Type="http://schemas.openxmlformats.org/officeDocument/2006/relationships/hyperlink" Target="https://www.datos.gov.co/dataset/HURTO-A-COMERCIO/7i2x-h5vp/about_data" TargetMode="External"/><Relationship Id="rId29" Type="http://schemas.openxmlformats.org/officeDocument/2006/relationships/hyperlink" Target="https://www.datos.gov.co/Seguridad-y-Defensa/TERRORISMO/yi5j-5fe9/about_data" TargetMode="External"/><Relationship Id="rId1" Type="http://schemas.openxmlformats.org/officeDocument/2006/relationships/hyperlink" Target="https://www.datos.gov.co/Seguridad-y-Defensa/INCAUTACIONES-Y-O-DESTRUCCIONES-MAQUINARIA-EXPLOTA/dxs6-mdeg/about_data" TargetMode="External"/><Relationship Id="rId6" Type="http://schemas.openxmlformats.org/officeDocument/2006/relationships/hyperlink" Target="https://www.datos.gov.co/Seguridad-y-Defensa/INCAUTACIONES-DE-BASE-DE-COCA/nxbk-nikm/about_data" TargetMode="External"/><Relationship Id="rId11" Type="http://schemas.openxmlformats.org/officeDocument/2006/relationships/hyperlink" Target="https://www.datos.gov.co/Seguridad-y-Defensa/INCAUTACIONES-DE-BASUCO/3cjd-phaj/about_data" TargetMode="External"/><Relationship Id="rId24" Type="http://schemas.openxmlformats.org/officeDocument/2006/relationships/hyperlink" Target="https://www.datos.gov.co/Seguridad-y-Defensa/DESTRUCCI-N-DE-INFRAESTRUCTURA-DE-PRODUCCI-N-DE-DR/s29y-2xjd/about_data" TargetMode="External"/><Relationship Id="rId32" Type="http://schemas.openxmlformats.org/officeDocument/2006/relationships/hyperlink" Target="https://www.datos.gov.co/Seguridad-y-Defensa/DELITOS-SEXUALES/bz43-8ahq/about_data" TargetMode="External"/><Relationship Id="rId37" Type="http://schemas.openxmlformats.org/officeDocument/2006/relationships/comments" Target="../comments1.xml"/><Relationship Id="rId5" Type="http://schemas.openxmlformats.org/officeDocument/2006/relationships/hyperlink" Target="https://www.datos.gov.co/Justicia-y-Derecho/Detecci-n-de-Cultivos-de-Coca-hect-reas-/acs4-3wgp/about_data" TargetMode="External"/><Relationship Id="rId15" Type="http://schemas.openxmlformats.org/officeDocument/2006/relationships/hyperlink" Target="https://www.datos.gov.co/Seguridad-y-Defensa/SECUESTRO/d7zw-hpf4/about_data" TargetMode="External"/><Relationship Id="rId23" Type="http://schemas.openxmlformats.org/officeDocument/2006/relationships/hyperlink" Target="https://www.datos.gov.co/Seguridad-y-Defensa/Reporte-Incautaci-n-de-Armas-de-Fuego-Polic-a-Naci/2iz5-9bbz/about_data" TargetMode="External"/><Relationship Id="rId28" Type="http://schemas.openxmlformats.org/officeDocument/2006/relationships/hyperlink" Target="https://www.datos.gov.co/Seguridad-y-Defensa/VOLADURA-DE-OLEDUCTOS/ec2r-4byk/about_data" TargetMode="External"/><Relationship Id="rId36" Type="http://schemas.openxmlformats.org/officeDocument/2006/relationships/vmlDrawing" Target="../drawings/vmlDrawing1.vml"/><Relationship Id="rId10" Type="http://schemas.openxmlformats.org/officeDocument/2006/relationships/hyperlink" Target="https://www.datos.gov.co/Seguridad-y-Defensa/INSUMOS-S-LIDOS/n997-hhiv/about_data" TargetMode="External"/><Relationship Id="rId19" Type="http://schemas.openxmlformats.org/officeDocument/2006/relationships/hyperlink" Target="https://www.datos.gov.co/Seguridad-y-Defensa/HURTO-A-RESIDENCIAS/7mn7-vzqp/about_data" TargetMode="External"/><Relationship Id="rId31" Type="http://schemas.openxmlformats.org/officeDocument/2006/relationships/hyperlink" Target="https://www.datos.gov.co/Seguridad-y-Defensa/TRATA-DE-PERSONAS/95c7-mm6s/about_data" TargetMode="External"/><Relationship Id="rId4" Type="http://schemas.openxmlformats.org/officeDocument/2006/relationships/hyperlink" Target="https://www.mindefensa.gov.co/defensa-y-seguridad/datos-y-cifras/informacion-estadistica" TargetMode="External"/><Relationship Id="rId9" Type="http://schemas.openxmlformats.org/officeDocument/2006/relationships/hyperlink" Target="https://www.datos.gov.co/Seguridad-y-Defensa/INCAUTACIONES-DE-INSUMOS-L-QUIDOS/k2wp-tdv7/about_data" TargetMode="External"/><Relationship Id="rId14" Type="http://schemas.openxmlformats.org/officeDocument/2006/relationships/hyperlink" Target="https://www.datos.gov.co/Seguridad-y-Defensa/EXTORSI-N/q2ib-t9am/about_data" TargetMode="External"/><Relationship Id="rId22" Type="http://schemas.openxmlformats.org/officeDocument/2006/relationships/hyperlink" Target="https://www.datos.gov.co/Seguridad-y-Defensa/MASACRES/u8eq-92tb/about_data" TargetMode="External"/><Relationship Id="rId27" Type="http://schemas.openxmlformats.org/officeDocument/2006/relationships/hyperlink" Target="https://www.datos.gov.co/Inclusi-n-Social-y-Reconciliaci-n/Eventos-Minas-Antipersonal-en-Colombia/sgp4-3e6k/about_data" TargetMode="External"/><Relationship Id="rId30" Type="http://schemas.openxmlformats.org/officeDocument/2006/relationships/hyperlink" Target="https://www.datos.gov.co/Seguridad-y-Defensa/HOMICIDIO/m8fd-ahd9/about_data" TargetMode="External"/><Relationship Id="rId35" Type="http://schemas.openxmlformats.org/officeDocument/2006/relationships/hyperlink" Target="https://www.datos.gov.co/Justicia-y-Derecho/Conteo-de-Procesos-V2/6d52-qyqg/about_data" TargetMode="External"/><Relationship Id="rId8" Type="http://schemas.openxmlformats.org/officeDocument/2006/relationships/hyperlink" Target="https://www.datos.gov.co/Seguridad-y-Defensa/INCAUTACIONES-DE-MARIHUANA/g228-vp9d/about_data" TargetMode="External"/><Relationship Id="rId3" Type="http://schemas.openxmlformats.org/officeDocument/2006/relationships/hyperlink" Target="https://www.datos.gov.co/Seguridad-y-Defensa/CAPTURAS-POR-MINER-A-ILEGAL/3wcs-8xp9/about_dat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E79E-69C1-4515-B1BE-37F24815BBA4}">
  <dimension ref="A1:D38"/>
  <sheetViews>
    <sheetView topLeftCell="A15" zoomScale="80" zoomScaleNormal="80" workbookViewId="0">
      <selection activeCell="A30" sqref="A30:A32"/>
    </sheetView>
  </sheetViews>
  <sheetFormatPr baseColWidth="10" defaultColWidth="11.5" defaultRowHeight="13" x14ac:dyDescent="0.15"/>
  <cols>
    <col min="1" max="1" width="28" style="10" customWidth="1"/>
    <col min="2" max="2" width="27.83203125" style="10" customWidth="1"/>
    <col min="3" max="3" width="22.5" style="10" customWidth="1"/>
    <col min="4" max="4" width="20.5" style="10" customWidth="1"/>
    <col min="5" max="16384" width="11.5" style="10"/>
  </cols>
  <sheetData>
    <row r="1" spans="1:4" ht="39" customHeight="1" x14ac:dyDescent="0.2">
      <c r="A1" s="9"/>
      <c r="B1" s="52" t="s">
        <v>0</v>
      </c>
      <c r="C1" s="53"/>
      <c r="D1"/>
    </row>
    <row r="2" spans="1:4" ht="15.75" customHeight="1" x14ac:dyDescent="0.2">
      <c r="A2" s="54" t="s">
        <v>1</v>
      </c>
      <c r="B2" s="54"/>
      <c r="C2" s="54"/>
      <c r="D2"/>
    </row>
    <row r="3" spans="1:4" ht="16" x14ac:dyDescent="0.2">
      <c r="A3" s="11"/>
      <c r="B3" s="12"/>
      <c r="C3" s="1"/>
      <c r="D3"/>
    </row>
    <row r="4" spans="1:4" ht="15" x14ac:dyDescent="0.2">
      <c r="A4" s="13" t="s">
        <v>2</v>
      </c>
      <c r="B4" s="13" t="s">
        <v>3</v>
      </c>
      <c r="C4" s="13" t="s">
        <v>4</v>
      </c>
      <c r="D4"/>
    </row>
    <row r="5" spans="1:4" ht="13.5" customHeight="1" x14ac:dyDescent="0.2">
      <c r="A5" s="55" t="s">
        <v>5</v>
      </c>
      <c r="B5" s="56"/>
      <c r="C5" s="56"/>
      <c r="D5"/>
    </row>
    <row r="6" spans="1:4" ht="15" x14ac:dyDescent="0.2">
      <c r="A6" s="57" t="s">
        <v>6</v>
      </c>
      <c r="B6" s="14"/>
      <c r="C6" s="15">
        <v>5</v>
      </c>
      <c r="D6"/>
    </row>
    <row r="7" spans="1:4" ht="15" x14ac:dyDescent="0.2">
      <c r="A7" s="58"/>
      <c r="B7" s="16" t="s">
        <v>7</v>
      </c>
      <c r="C7" s="17">
        <v>5</v>
      </c>
      <c r="D7"/>
    </row>
    <row r="8" spans="1:4" ht="15" x14ac:dyDescent="0.2">
      <c r="A8" s="58"/>
      <c r="B8" s="16" t="s">
        <v>8</v>
      </c>
      <c r="C8" s="17">
        <v>3</v>
      </c>
      <c r="D8"/>
    </row>
    <row r="9" spans="1:4" ht="16" thickBot="1" x14ac:dyDescent="0.25">
      <c r="A9" s="58"/>
      <c r="B9" s="16" t="s">
        <v>9</v>
      </c>
      <c r="C9" s="17">
        <v>2</v>
      </c>
      <c r="D9"/>
    </row>
    <row r="10" spans="1:4" ht="15" x14ac:dyDescent="0.2">
      <c r="A10" s="59" t="s">
        <v>10</v>
      </c>
      <c r="B10" s="18"/>
      <c r="C10" s="19">
        <v>5</v>
      </c>
      <c r="D10"/>
    </row>
    <row r="11" spans="1:4" ht="15" x14ac:dyDescent="0.2">
      <c r="A11" s="58"/>
      <c r="B11" s="16" t="s">
        <v>7</v>
      </c>
      <c r="C11" s="17">
        <v>5</v>
      </c>
      <c r="D11"/>
    </row>
    <row r="12" spans="1:4" ht="15" x14ac:dyDescent="0.2">
      <c r="A12" s="58"/>
      <c r="B12" s="16" t="s">
        <v>8</v>
      </c>
      <c r="C12" s="17">
        <v>3</v>
      </c>
      <c r="D12"/>
    </row>
    <row r="13" spans="1:4" ht="16" thickBot="1" x14ac:dyDescent="0.25">
      <c r="A13" s="58"/>
      <c r="B13" s="16" t="s">
        <v>9</v>
      </c>
      <c r="C13" s="17">
        <v>2</v>
      </c>
      <c r="D13"/>
    </row>
    <row r="14" spans="1:4" ht="15" x14ac:dyDescent="0.2">
      <c r="A14" s="59" t="s">
        <v>11</v>
      </c>
      <c r="B14" s="18"/>
      <c r="C14" s="19">
        <v>10</v>
      </c>
      <c r="D14"/>
    </row>
    <row r="15" spans="1:4" ht="15" x14ac:dyDescent="0.2">
      <c r="A15" s="58"/>
      <c r="B15" s="16" t="s">
        <v>7</v>
      </c>
      <c r="C15" s="17">
        <v>10</v>
      </c>
      <c r="D15"/>
    </row>
    <row r="16" spans="1:4" ht="15" x14ac:dyDescent="0.2">
      <c r="A16" s="58"/>
      <c r="B16" s="16" t="s">
        <v>8</v>
      </c>
      <c r="C16" s="17">
        <v>7</v>
      </c>
      <c r="D16"/>
    </row>
    <row r="17" spans="1:4" ht="16" thickBot="1" x14ac:dyDescent="0.25">
      <c r="A17" s="58"/>
      <c r="B17" s="16" t="s">
        <v>9</v>
      </c>
      <c r="C17" s="17">
        <v>3</v>
      </c>
      <c r="D17"/>
    </row>
    <row r="18" spans="1:4" ht="15" x14ac:dyDescent="0.2">
      <c r="A18" s="59" t="s">
        <v>12</v>
      </c>
      <c r="B18" s="18"/>
      <c r="C18" s="19">
        <v>20</v>
      </c>
      <c r="D18"/>
    </row>
    <row r="19" spans="1:4" ht="15" x14ac:dyDescent="0.2">
      <c r="A19" s="58"/>
      <c r="B19" s="16" t="s">
        <v>7</v>
      </c>
      <c r="C19" s="17">
        <v>20</v>
      </c>
      <c r="D19"/>
    </row>
    <row r="20" spans="1:4" ht="15" x14ac:dyDescent="0.2">
      <c r="A20" s="58"/>
      <c r="B20" s="16" t="s">
        <v>8</v>
      </c>
      <c r="C20" s="17">
        <v>13</v>
      </c>
      <c r="D20"/>
    </row>
    <row r="21" spans="1:4" ht="16" thickBot="1" x14ac:dyDescent="0.25">
      <c r="A21" s="58"/>
      <c r="B21" s="16" t="s">
        <v>9</v>
      </c>
      <c r="C21" s="17">
        <v>7</v>
      </c>
      <c r="D21"/>
    </row>
    <row r="22" spans="1:4" ht="12.75" customHeight="1" x14ac:dyDescent="0.2">
      <c r="A22" s="60" t="s">
        <v>13</v>
      </c>
      <c r="B22" s="18"/>
      <c r="C22" s="19">
        <v>30</v>
      </c>
      <c r="D22"/>
    </row>
    <row r="23" spans="1:4" ht="15" x14ac:dyDescent="0.2">
      <c r="A23" s="61"/>
      <c r="B23" s="16" t="s">
        <v>7</v>
      </c>
      <c r="C23" s="17">
        <v>30</v>
      </c>
      <c r="D23"/>
    </row>
    <row r="24" spans="1:4" ht="15" x14ac:dyDescent="0.2">
      <c r="A24" s="61"/>
      <c r="B24" s="16" t="s">
        <v>8</v>
      </c>
      <c r="C24" s="17">
        <v>20</v>
      </c>
      <c r="D24"/>
    </row>
    <row r="25" spans="1:4" ht="16" thickBot="1" x14ac:dyDescent="0.25">
      <c r="A25" s="61"/>
      <c r="B25" s="16" t="s">
        <v>9</v>
      </c>
      <c r="C25" s="17">
        <v>10</v>
      </c>
      <c r="D25"/>
    </row>
    <row r="26" spans="1:4" ht="15" x14ac:dyDescent="0.2">
      <c r="A26" s="59" t="s">
        <v>14</v>
      </c>
      <c r="B26" s="18"/>
      <c r="C26" s="19">
        <v>5</v>
      </c>
      <c r="D26"/>
    </row>
    <row r="27" spans="1:4" ht="15" x14ac:dyDescent="0.2">
      <c r="A27" s="58"/>
      <c r="B27" s="16" t="s">
        <v>7</v>
      </c>
      <c r="C27" s="17">
        <v>5</v>
      </c>
      <c r="D27"/>
    </row>
    <row r="28" spans="1:4" ht="15" x14ac:dyDescent="0.2">
      <c r="A28" s="58"/>
      <c r="B28" s="16" t="s">
        <v>8</v>
      </c>
      <c r="C28" s="17">
        <v>3</v>
      </c>
      <c r="D28"/>
    </row>
    <row r="29" spans="1:4" ht="16" thickBot="1" x14ac:dyDescent="0.25">
      <c r="A29" s="58"/>
      <c r="B29" s="16" t="s">
        <v>9</v>
      </c>
      <c r="C29" s="17">
        <v>2</v>
      </c>
      <c r="D29"/>
    </row>
    <row r="30" spans="1:4" ht="15" x14ac:dyDescent="0.2">
      <c r="A30" s="59" t="s">
        <v>15</v>
      </c>
      <c r="B30" s="18"/>
      <c r="C30" s="19">
        <v>25</v>
      </c>
      <c r="D30"/>
    </row>
    <row r="31" spans="1:4" ht="15" x14ac:dyDescent="0.2">
      <c r="A31" s="58"/>
      <c r="B31" s="16" t="s">
        <v>16</v>
      </c>
      <c r="C31" s="17">
        <v>25</v>
      </c>
      <c r="D31"/>
    </row>
    <row r="32" spans="1:4" ht="16" thickBot="1" x14ac:dyDescent="0.25">
      <c r="A32" s="62"/>
      <c r="B32" s="20" t="s">
        <v>17</v>
      </c>
      <c r="C32" s="21">
        <v>15</v>
      </c>
      <c r="D32"/>
    </row>
    <row r="33" spans="1:4" ht="15" hidden="1" x14ac:dyDescent="0.2">
      <c r="A33"/>
      <c r="B33"/>
      <c r="C33"/>
      <c r="D33"/>
    </row>
    <row r="34" spans="1:4" ht="15" x14ac:dyDescent="0.2">
      <c r="A34" s="63" t="s">
        <v>18</v>
      </c>
      <c r="B34" s="64"/>
      <c r="C34" s="22">
        <f>C6+C10+C14+C18+C22+C26+C30</f>
        <v>100</v>
      </c>
      <c r="D34"/>
    </row>
    <row r="35" spans="1:4" ht="15" x14ac:dyDescent="0.2">
      <c r="A35" s="23"/>
      <c r="B35" s="24"/>
      <c r="C35" s="25"/>
      <c r="D35"/>
    </row>
    <row r="36" spans="1:4" ht="27.75" customHeight="1" x14ac:dyDescent="0.15">
      <c r="A36" s="51" t="s">
        <v>19</v>
      </c>
      <c r="B36" s="51"/>
      <c r="C36" s="51"/>
      <c r="D36" s="51"/>
    </row>
    <row r="37" spans="1:4" ht="28" x14ac:dyDescent="0.15">
      <c r="A37" s="26" t="s">
        <v>20</v>
      </c>
      <c r="B37" s="27" t="s">
        <v>21</v>
      </c>
      <c r="C37" s="28" t="s">
        <v>22</v>
      </c>
      <c r="D37" s="29" t="s">
        <v>23</v>
      </c>
    </row>
    <row r="38" spans="1:4" ht="70" x14ac:dyDescent="0.15">
      <c r="A38" s="30" t="s">
        <v>24</v>
      </c>
      <c r="B38" s="31" t="s">
        <v>25</v>
      </c>
      <c r="C38" s="32" t="s">
        <v>26</v>
      </c>
      <c r="D38" s="33" t="s">
        <v>27</v>
      </c>
    </row>
  </sheetData>
  <mergeCells count="12">
    <mergeCell ref="A36:D36"/>
    <mergeCell ref="B1:C1"/>
    <mergeCell ref="A2:C2"/>
    <mergeCell ref="A5:C5"/>
    <mergeCell ref="A6:A9"/>
    <mergeCell ref="A10:A13"/>
    <mergeCell ref="A14:A17"/>
    <mergeCell ref="A18:A21"/>
    <mergeCell ref="A22:A25"/>
    <mergeCell ref="A26:A29"/>
    <mergeCell ref="A30:A32"/>
    <mergeCell ref="A34:B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01204-5D0C-4050-9EAF-45C008010BB7}">
  <dimension ref="A1:D47"/>
  <sheetViews>
    <sheetView workbookViewId="0">
      <selection activeCell="C25" sqref="C25"/>
    </sheetView>
  </sheetViews>
  <sheetFormatPr baseColWidth="10" defaultColWidth="11.5" defaultRowHeight="13" x14ac:dyDescent="0.15"/>
  <cols>
    <col min="1" max="1" width="28" style="10" customWidth="1"/>
    <col min="2" max="2" width="27.83203125" style="10" customWidth="1"/>
    <col min="3" max="3" width="22.5" style="10" customWidth="1"/>
    <col min="4" max="4" width="20.5" style="10" customWidth="1"/>
    <col min="5" max="16384" width="11.5" style="10"/>
  </cols>
  <sheetData>
    <row r="1" spans="1:4" ht="39" customHeight="1" x14ac:dyDescent="0.2">
      <c r="A1" s="9"/>
      <c r="B1" s="52" t="s">
        <v>0</v>
      </c>
      <c r="C1" s="53"/>
      <c r="D1"/>
    </row>
    <row r="2" spans="1:4" ht="15.75" customHeight="1" x14ac:dyDescent="0.2">
      <c r="A2" s="54" t="s">
        <v>1</v>
      </c>
      <c r="B2" s="54"/>
      <c r="C2" s="54"/>
      <c r="D2"/>
    </row>
    <row r="3" spans="1:4" ht="16" x14ac:dyDescent="0.2">
      <c r="A3" s="11"/>
      <c r="B3" s="12"/>
      <c r="C3" s="1"/>
      <c r="D3"/>
    </row>
    <row r="4" spans="1:4" ht="15" x14ac:dyDescent="0.2">
      <c r="A4" s="13" t="s">
        <v>2</v>
      </c>
      <c r="B4" s="13" t="s">
        <v>3</v>
      </c>
      <c r="C4" s="13" t="s">
        <v>4</v>
      </c>
      <c r="D4"/>
    </row>
    <row r="5" spans="1:4" ht="13.5" customHeight="1" thickBot="1" x14ac:dyDescent="0.25">
      <c r="A5" s="69" t="s">
        <v>5</v>
      </c>
      <c r="B5" s="70"/>
      <c r="C5" s="70"/>
      <c r="D5"/>
    </row>
    <row r="6" spans="1:4" ht="15" x14ac:dyDescent="0.2">
      <c r="A6" s="59" t="s">
        <v>37</v>
      </c>
      <c r="B6" s="18"/>
      <c r="C6" s="36">
        <v>11.11</v>
      </c>
      <c r="D6"/>
    </row>
    <row r="7" spans="1:4" ht="15" x14ac:dyDescent="0.2">
      <c r="A7" s="58"/>
      <c r="B7" s="16" t="s">
        <v>7</v>
      </c>
      <c r="C7" s="37">
        <f>C6*1</f>
        <v>11.11</v>
      </c>
      <c r="D7"/>
    </row>
    <row r="8" spans="1:4" ht="15" x14ac:dyDescent="0.2">
      <c r="A8" s="58"/>
      <c r="B8" s="16" t="s">
        <v>8</v>
      </c>
      <c r="C8" s="37">
        <f>C6*0.5</f>
        <v>5.5549999999999997</v>
      </c>
      <c r="D8"/>
    </row>
    <row r="9" spans="1:4" ht="16" thickBot="1" x14ac:dyDescent="0.25">
      <c r="A9" s="62"/>
      <c r="B9" s="20" t="s">
        <v>9</v>
      </c>
      <c r="C9" s="38">
        <f>C6*0.25</f>
        <v>2.7774999999999999</v>
      </c>
      <c r="D9"/>
    </row>
    <row r="10" spans="1:4" ht="15" x14ac:dyDescent="0.2">
      <c r="A10" s="59" t="s">
        <v>54</v>
      </c>
      <c r="B10" s="18"/>
      <c r="C10" s="36">
        <v>11.11</v>
      </c>
      <c r="D10"/>
    </row>
    <row r="11" spans="1:4" ht="15" x14ac:dyDescent="0.2">
      <c r="A11" s="58"/>
      <c r="B11" s="16" t="s">
        <v>7</v>
      </c>
      <c r="C11" s="37">
        <f>C10*1</f>
        <v>11.11</v>
      </c>
      <c r="D11"/>
    </row>
    <row r="12" spans="1:4" ht="15" x14ac:dyDescent="0.2">
      <c r="A12" s="58"/>
      <c r="B12" s="16" t="s">
        <v>8</v>
      </c>
      <c r="C12" s="37">
        <f>C10*0.5</f>
        <v>5.5549999999999997</v>
      </c>
      <c r="D12"/>
    </row>
    <row r="13" spans="1:4" ht="16" thickBot="1" x14ac:dyDescent="0.25">
      <c r="A13" s="62"/>
      <c r="B13" s="20" t="s">
        <v>9</v>
      </c>
      <c r="C13" s="38">
        <f>C10*0.25</f>
        <v>2.7774999999999999</v>
      </c>
      <c r="D13"/>
    </row>
    <row r="14" spans="1:4" ht="15" x14ac:dyDescent="0.2">
      <c r="A14" s="59" t="s">
        <v>84</v>
      </c>
      <c r="B14" s="18"/>
      <c r="C14" s="36">
        <v>11.11</v>
      </c>
      <c r="D14"/>
    </row>
    <row r="15" spans="1:4" ht="15" x14ac:dyDescent="0.2">
      <c r="A15" s="58"/>
      <c r="B15" s="16" t="s">
        <v>7</v>
      </c>
      <c r="C15" s="37">
        <f>C14*1</f>
        <v>11.11</v>
      </c>
      <c r="D15"/>
    </row>
    <row r="16" spans="1:4" ht="15" x14ac:dyDescent="0.2">
      <c r="A16" s="58"/>
      <c r="B16" s="16" t="s">
        <v>8</v>
      </c>
      <c r="C16" s="37">
        <f>C14*0.5</f>
        <v>5.5549999999999997</v>
      </c>
      <c r="D16"/>
    </row>
    <row r="17" spans="1:4" ht="16" thickBot="1" x14ac:dyDescent="0.25">
      <c r="A17" s="62"/>
      <c r="B17" s="20" t="s">
        <v>9</v>
      </c>
      <c r="C17" s="38">
        <f>C14*0.25</f>
        <v>2.7774999999999999</v>
      </c>
      <c r="D17"/>
    </row>
    <row r="18" spans="1:4" ht="15" x14ac:dyDescent="0.2">
      <c r="A18" s="60" t="s">
        <v>158</v>
      </c>
      <c r="B18" s="18"/>
      <c r="C18" s="36">
        <v>11.11</v>
      </c>
      <c r="D18"/>
    </row>
    <row r="19" spans="1:4" ht="15" x14ac:dyDescent="0.2">
      <c r="A19" s="61"/>
      <c r="B19" s="16" t="s">
        <v>7</v>
      </c>
      <c r="C19" s="37">
        <f>C18*1</f>
        <v>11.11</v>
      </c>
      <c r="D19"/>
    </row>
    <row r="20" spans="1:4" ht="15" x14ac:dyDescent="0.2">
      <c r="A20" s="61"/>
      <c r="B20" s="16" t="s">
        <v>8</v>
      </c>
      <c r="C20" s="37">
        <f>C18*0.5</f>
        <v>5.5549999999999997</v>
      </c>
      <c r="D20"/>
    </row>
    <row r="21" spans="1:4" ht="14.5" customHeight="1" thickBot="1" x14ac:dyDescent="0.25">
      <c r="A21" s="68"/>
      <c r="B21" s="20" t="s">
        <v>9</v>
      </c>
      <c r="C21" s="38">
        <f>C18*0.25</f>
        <v>2.7774999999999999</v>
      </c>
      <c r="D21"/>
    </row>
    <row r="22" spans="1:4" ht="12.75" customHeight="1" x14ac:dyDescent="0.2">
      <c r="A22" s="60" t="s">
        <v>160</v>
      </c>
      <c r="B22" s="18"/>
      <c r="C22" s="36">
        <v>11.11</v>
      </c>
      <c r="D22"/>
    </row>
    <row r="23" spans="1:4" ht="15" x14ac:dyDescent="0.2">
      <c r="A23" s="61"/>
      <c r="B23" s="16" t="s">
        <v>7</v>
      </c>
      <c r="C23" s="37">
        <f>C22*1</f>
        <v>11.11</v>
      </c>
      <c r="D23"/>
    </row>
    <row r="24" spans="1:4" ht="15" x14ac:dyDescent="0.2">
      <c r="A24" s="61"/>
      <c r="B24" s="16" t="s">
        <v>8</v>
      </c>
      <c r="C24" s="37">
        <f>C22*0.5</f>
        <v>5.5549999999999997</v>
      </c>
      <c r="D24"/>
    </row>
    <row r="25" spans="1:4" ht="16" thickBot="1" x14ac:dyDescent="0.25">
      <c r="A25" s="68"/>
      <c r="B25" s="20" t="s">
        <v>9</v>
      </c>
      <c r="C25" s="38">
        <f>C22*0.25</f>
        <v>2.7774999999999999</v>
      </c>
      <c r="D25"/>
    </row>
    <row r="26" spans="1:4" ht="15" x14ac:dyDescent="0.2">
      <c r="A26" s="59" t="s">
        <v>101</v>
      </c>
      <c r="B26" s="18"/>
      <c r="C26" s="36">
        <v>11.11</v>
      </c>
      <c r="D26"/>
    </row>
    <row r="27" spans="1:4" ht="15" x14ac:dyDescent="0.2">
      <c r="A27" s="58"/>
      <c r="B27" s="16" t="s">
        <v>7</v>
      </c>
      <c r="C27" s="37">
        <f>C26*1</f>
        <v>11.11</v>
      </c>
      <c r="D27"/>
    </row>
    <row r="28" spans="1:4" ht="15" x14ac:dyDescent="0.2">
      <c r="A28" s="58"/>
      <c r="B28" s="16" t="s">
        <v>8</v>
      </c>
      <c r="C28" s="37">
        <f>C26*0.5</f>
        <v>5.5549999999999997</v>
      </c>
      <c r="D28"/>
    </row>
    <row r="29" spans="1:4" ht="16" thickBot="1" x14ac:dyDescent="0.25">
      <c r="A29" s="62"/>
      <c r="B29" s="20" t="s">
        <v>9</v>
      </c>
      <c r="C29" s="38">
        <f>C26*0.25</f>
        <v>2.7774999999999999</v>
      </c>
      <c r="D29"/>
    </row>
    <row r="30" spans="1:4" ht="14.5" customHeight="1" x14ac:dyDescent="0.2">
      <c r="A30" s="59" t="s">
        <v>129</v>
      </c>
      <c r="B30" s="18"/>
      <c r="C30" s="36">
        <v>11.11</v>
      </c>
      <c r="D30"/>
    </row>
    <row r="31" spans="1:4" ht="14.5" customHeight="1" x14ac:dyDescent="0.2">
      <c r="A31" s="57"/>
      <c r="B31" s="16" t="s">
        <v>7</v>
      </c>
      <c r="C31" s="37">
        <f>C30*1</f>
        <v>11.11</v>
      </c>
      <c r="D31"/>
    </row>
    <row r="32" spans="1:4" ht="15" x14ac:dyDescent="0.2">
      <c r="A32" s="58"/>
      <c r="B32" s="16" t="s">
        <v>8</v>
      </c>
      <c r="C32" s="37">
        <f>C30*0.5</f>
        <v>5.5549999999999997</v>
      </c>
      <c r="D32"/>
    </row>
    <row r="33" spans="1:4" ht="16" thickBot="1" x14ac:dyDescent="0.25">
      <c r="A33" s="62"/>
      <c r="B33" s="20" t="s">
        <v>9</v>
      </c>
      <c r="C33" s="38">
        <f>C30*0.25</f>
        <v>2.7774999999999999</v>
      </c>
      <c r="D33"/>
    </row>
    <row r="34" spans="1:4" ht="15" hidden="1" x14ac:dyDescent="0.2">
      <c r="A34"/>
      <c r="B34"/>
      <c r="C34"/>
      <c r="D34"/>
    </row>
    <row r="35" spans="1:4" ht="15" x14ac:dyDescent="0.2">
      <c r="A35" s="59" t="s">
        <v>164</v>
      </c>
      <c r="B35" s="18"/>
      <c r="C35" s="36">
        <v>11.11</v>
      </c>
      <c r="D35"/>
    </row>
    <row r="36" spans="1:4" ht="15" x14ac:dyDescent="0.2">
      <c r="A36" s="58"/>
      <c r="B36" s="16" t="s">
        <v>7</v>
      </c>
      <c r="C36" s="37">
        <f>C35*1</f>
        <v>11.11</v>
      </c>
      <c r="D36"/>
    </row>
    <row r="37" spans="1:4" ht="15" x14ac:dyDescent="0.2">
      <c r="A37" s="58"/>
      <c r="B37" s="16" t="s">
        <v>8</v>
      </c>
      <c r="C37" s="37">
        <f>C35*0.5</f>
        <v>5.5549999999999997</v>
      </c>
      <c r="D37"/>
    </row>
    <row r="38" spans="1:4" ht="16" thickBot="1" x14ac:dyDescent="0.25">
      <c r="A38" s="62"/>
      <c r="B38" s="20" t="s">
        <v>9</v>
      </c>
      <c r="C38" s="38">
        <f>C35*0.25</f>
        <v>2.7774999999999999</v>
      </c>
      <c r="D38"/>
    </row>
    <row r="39" spans="1:4" ht="15" x14ac:dyDescent="0.2">
      <c r="A39" s="59" t="s">
        <v>151</v>
      </c>
      <c r="B39" s="18"/>
      <c r="C39" s="36">
        <v>11.11</v>
      </c>
      <c r="D39"/>
    </row>
    <row r="40" spans="1:4" ht="15" x14ac:dyDescent="0.2">
      <c r="A40" s="57"/>
      <c r="B40" s="16" t="s">
        <v>7</v>
      </c>
      <c r="C40" s="37">
        <f>C39*1</f>
        <v>11.11</v>
      </c>
      <c r="D40"/>
    </row>
    <row r="41" spans="1:4" ht="15" x14ac:dyDescent="0.2">
      <c r="A41" s="58"/>
      <c r="B41" s="16" t="s">
        <v>8</v>
      </c>
      <c r="C41" s="37">
        <f>C39*0.5</f>
        <v>5.5549999999999997</v>
      </c>
      <c r="D41"/>
    </row>
    <row r="42" spans="1:4" ht="16" thickBot="1" x14ac:dyDescent="0.25">
      <c r="A42" s="62"/>
      <c r="B42" s="20" t="s">
        <v>9</v>
      </c>
      <c r="C42" s="38">
        <f>C39*0.25</f>
        <v>2.7774999999999999</v>
      </c>
      <c r="D42"/>
    </row>
    <row r="43" spans="1:4" ht="14.5" customHeight="1" x14ac:dyDescent="0.2">
      <c r="A43" s="66" t="s">
        <v>18</v>
      </c>
      <c r="B43" s="67"/>
      <c r="C43" s="39">
        <f>C6+C10+C14+C18+C22+C26+C30+C35+C39</f>
        <v>99.99</v>
      </c>
      <c r="D43"/>
    </row>
    <row r="44" spans="1:4" ht="15" x14ac:dyDescent="0.2">
      <c r="A44" s="23"/>
      <c r="B44" s="24"/>
      <c r="C44" s="25"/>
      <c r="D44"/>
    </row>
    <row r="45" spans="1:4" ht="27.75" customHeight="1" x14ac:dyDescent="0.15">
      <c r="A45" s="65" t="s">
        <v>19</v>
      </c>
      <c r="B45" s="65"/>
      <c r="C45" s="65"/>
      <c r="D45" s="65"/>
    </row>
    <row r="46" spans="1:4" ht="28" x14ac:dyDescent="0.15">
      <c r="A46" s="26" t="s">
        <v>171</v>
      </c>
      <c r="B46" s="27" t="s">
        <v>172</v>
      </c>
      <c r="C46" s="28" t="s">
        <v>173</v>
      </c>
      <c r="D46" s="29" t="s">
        <v>174</v>
      </c>
    </row>
    <row r="47" spans="1:4" ht="70" x14ac:dyDescent="0.15">
      <c r="A47" s="30" t="s">
        <v>170</v>
      </c>
      <c r="B47" s="31" t="s">
        <v>169</v>
      </c>
      <c r="C47" s="32" t="s">
        <v>168</v>
      </c>
      <c r="D47" s="33" t="s">
        <v>167</v>
      </c>
    </row>
  </sheetData>
  <mergeCells count="14">
    <mergeCell ref="A14:A17"/>
    <mergeCell ref="B1:C1"/>
    <mergeCell ref="A2:C2"/>
    <mergeCell ref="A5:C5"/>
    <mergeCell ref="A6:A9"/>
    <mergeCell ref="A10:A13"/>
    <mergeCell ref="A45:D45"/>
    <mergeCell ref="A43:B43"/>
    <mergeCell ref="A35:A38"/>
    <mergeCell ref="A39:A42"/>
    <mergeCell ref="A18:A21"/>
    <mergeCell ref="A22:A25"/>
    <mergeCell ref="A26:A29"/>
    <mergeCell ref="A30:A3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6464-BAB1-4318-B421-7980A41C4E54}">
  <dimension ref="A1:E12"/>
  <sheetViews>
    <sheetView workbookViewId="0">
      <selection activeCell="A3" sqref="A3"/>
    </sheetView>
  </sheetViews>
  <sheetFormatPr baseColWidth="10" defaultRowHeight="15" x14ac:dyDescent="0.2"/>
  <cols>
    <col min="1" max="1" width="25" style="1" customWidth="1"/>
    <col min="2" max="2" width="73.1640625" style="1" customWidth="1"/>
  </cols>
  <sheetData>
    <row r="1" spans="1:5" ht="17" thickBot="1" x14ac:dyDescent="0.25">
      <c r="A1" s="34" t="s">
        <v>28</v>
      </c>
      <c r="B1" s="34" t="s">
        <v>154</v>
      </c>
      <c r="C1" t="s">
        <v>175</v>
      </c>
    </row>
    <row r="2" spans="1:5" ht="65" thickBot="1" x14ac:dyDescent="0.25">
      <c r="A2" s="34" t="s">
        <v>37</v>
      </c>
      <c r="B2" s="35" t="s">
        <v>155</v>
      </c>
      <c r="C2" s="42" t="s">
        <v>176</v>
      </c>
    </row>
    <row r="3" spans="1:5" ht="49" thickBot="1" x14ac:dyDescent="0.25">
      <c r="A3" s="34" t="s">
        <v>54</v>
      </c>
      <c r="B3" s="35" t="s">
        <v>156</v>
      </c>
      <c r="C3" s="42" t="s">
        <v>177</v>
      </c>
    </row>
    <row r="4" spans="1:5" ht="49" thickBot="1" x14ac:dyDescent="0.25">
      <c r="A4" s="34" t="s">
        <v>84</v>
      </c>
      <c r="B4" s="35" t="s">
        <v>157</v>
      </c>
      <c r="C4" s="42" t="s">
        <v>178</v>
      </c>
      <c r="E4" s="41"/>
    </row>
    <row r="5" spans="1:5" ht="49" thickBot="1" x14ac:dyDescent="0.25">
      <c r="A5" s="34" t="s">
        <v>158</v>
      </c>
      <c r="B5" s="35" t="s">
        <v>159</v>
      </c>
      <c r="C5" s="42" t="s">
        <v>179</v>
      </c>
      <c r="E5" s="41"/>
    </row>
    <row r="6" spans="1:5" ht="49" thickBot="1" x14ac:dyDescent="0.25">
      <c r="A6" s="34" t="s">
        <v>160</v>
      </c>
      <c r="B6" s="35" t="s">
        <v>161</v>
      </c>
      <c r="C6" s="42" t="s">
        <v>180</v>
      </c>
      <c r="E6" s="41"/>
    </row>
    <row r="7" spans="1:5" ht="49" thickBot="1" x14ac:dyDescent="0.25">
      <c r="A7" s="34" t="s">
        <v>101</v>
      </c>
      <c r="B7" s="35" t="s">
        <v>162</v>
      </c>
      <c r="C7" s="42" t="s">
        <v>181</v>
      </c>
      <c r="E7" s="41"/>
    </row>
    <row r="8" spans="1:5" ht="49" thickBot="1" x14ac:dyDescent="0.25">
      <c r="A8" s="34" t="s">
        <v>129</v>
      </c>
      <c r="B8" s="35" t="s">
        <v>163</v>
      </c>
      <c r="C8" s="42" t="s">
        <v>182</v>
      </c>
      <c r="E8" s="41"/>
    </row>
    <row r="9" spans="1:5" ht="49" thickBot="1" x14ac:dyDescent="0.25">
      <c r="A9" s="34" t="s">
        <v>164</v>
      </c>
      <c r="B9" s="35" t="s">
        <v>165</v>
      </c>
      <c r="C9" s="42" t="s">
        <v>183</v>
      </c>
      <c r="E9" s="41"/>
    </row>
    <row r="10" spans="1:5" ht="49" thickBot="1" x14ac:dyDescent="0.25">
      <c r="A10" s="34" t="s">
        <v>151</v>
      </c>
      <c r="B10" s="35" t="s">
        <v>166</v>
      </c>
      <c r="C10" s="42" t="s">
        <v>184</v>
      </c>
      <c r="E10" s="41"/>
    </row>
    <row r="11" spans="1:5" ht="17" thickBot="1" x14ac:dyDescent="0.25">
      <c r="E11" s="41"/>
    </row>
    <row r="12" spans="1:5" ht="17" thickBot="1" x14ac:dyDescent="0.25">
      <c r="E12" s="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A4AE1-1428-425B-9D23-FC881F2F9CB8}">
  <sheetPr filterMode="1"/>
  <dimension ref="A1:L45"/>
  <sheetViews>
    <sheetView tabSelected="1" zoomScaleNormal="100" workbookViewId="0">
      <selection activeCell="B21" sqref="B21"/>
    </sheetView>
  </sheetViews>
  <sheetFormatPr baseColWidth="10" defaultColWidth="11.5" defaultRowHeight="15" x14ac:dyDescent="0.2"/>
  <cols>
    <col min="1" max="1" width="9" style="2" customWidth="1"/>
    <col min="2" max="4" width="31.83203125" style="2" customWidth="1"/>
    <col min="5" max="5" width="64" style="8" customWidth="1"/>
    <col min="6" max="10" width="31.83203125" style="2" customWidth="1"/>
    <col min="11" max="12" width="10.83203125" style="2"/>
  </cols>
  <sheetData>
    <row r="1" spans="1:12" s="5" customFormat="1" ht="39" x14ac:dyDescent="0.25">
      <c r="A1" s="4" t="s">
        <v>17</v>
      </c>
      <c r="B1" s="4" t="s">
        <v>28</v>
      </c>
      <c r="C1" s="4" t="s">
        <v>29</v>
      </c>
      <c r="D1" s="4" t="s">
        <v>30</v>
      </c>
      <c r="E1" s="7" t="s">
        <v>31</v>
      </c>
      <c r="F1" s="4" t="s">
        <v>32</v>
      </c>
      <c r="G1" s="4" t="s">
        <v>33</v>
      </c>
      <c r="H1" s="4" t="s">
        <v>34</v>
      </c>
      <c r="I1" s="4" t="s">
        <v>35</v>
      </c>
      <c r="J1" s="4" t="s">
        <v>36</v>
      </c>
      <c r="K1" s="4"/>
      <c r="L1" s="4"/>
    </row>
    <row r="2" spans="1:12" ht="64" hidden="1" x14ac:dyDescent="0.2">
      <c r="A2" s="2">
        <v>1</v>
      </c>
      <c r="B2" s="6" t="s">
        <v>37</v>
      </c>
      <c r="C2" s="2" t="s">
        <v>38</v>
      </c>
      <c r="D2" s="2" t="s">
        <v>186</v>
      </c>
      <c r="E2" s="8" t="s">
        <v>39</v>
      </c>
      <c r="F2" s="3" t="s">
        <v>40</v>
      </c>
      <c r="G2" s="2" t="s">
        <v>41</v>
      </c>
      <c r="H2" s="2" t="s">
        <v>42</v>
      </c>
      <c r="I2" s="2" t="s">
        <v>43</v>
      </c>
      <c r="J2" s="2" t="s">
        <v>16</v>
      </c>
    </row>
    <row r="3" spans="1:12" ht="48" hidden="1" x14ac:dyDescent="0.2">
      <c r="A3" s="2">
        <v>2</v>
      </c>
      <c r="B3" s="6" t="s">
        <v>37</v>
      </c>
      <c r="C3" s="2" t="s">
        <v>44</v>
      </c>
      <c r="D3" s="2" t="s">
        <v>189</v>
      </c>
      <c r="E3" s="8" t="s">
        <v>45</v>
      </c>
      <c r="F3" s="3" t="s">
        <v>46</v>
      </c>
      <c r="G3" s="2" t="s">
        <v>41</v>
      </c>
      <c r="H3" s="2" t="s">
        <v>47</v>
      </c>
      <c r="I3" s="2" t="s">
        <v>43</v>
      </c>
      <c r="J3" s="2" t="s">
        <v>16</v>
      </c>
    </row>
    <row r="4" spans="1:12" ht="48" hidden="1" x14ac:dyDescent="0.2">
      <c r="A4" s="2">
        <v>3</v>
      </c>
      <c r="B4" s="6" t="s">
        <v>37</v>
      </c>
      <c r="C4" s="2" t="s">
        <v>48</v>
      </c>
      <c r="D4" s="2" t="s">
        <v>187</v>
      </c>
      <c r="E4" s="8" t="s">
        <v>49</v>
      </c>
      <c r="F4" s="2" t="s">
        <v>50</v>
      </c>
      <c r="G4" s="2" t="s">
        <v>41</v>
      </c>
      <c r="H4" s="2" t="s">
        <v>47</v>
      </c>
      <c r="I4" s="2" t="s">
        <v>43</v>
      </c>
      <c r="J4" s="2" t="s">
        <v>16</v>
      </c>
    </row>
    <row r="5" spans="1:12" s="46" customFormat="1" ht="25" hidden="1" x14ac:dyDescent="0.2">
      <c r="A5" s="43">
        <v>4</v>
      </c>
      <c r="B5" s="44" t="s">
        <v>37</v>
      </c>
      <c r="C5" s="43" t="s">
        <v>51</v>
      </c>
      <c r="D5" s="43" t="s">
        <v>188</v>
      </c>
      <c r="E5" s="45" t="s">
        <v>52</v>
      </c>
      <c r="F5" s="43" t="s">
        <v>53</v>
      </c>
      <c r="G5" s="43" t="s">
        <v>41</v>
      </c>
      <c r="H5" s="43" t="s">
        <v>47</v>
      </c>
      <c r="I5" s="43" t="s">
        <v>43</v>
      </c>
      <c r="J5" s="43" t="s">
        <v>17</v>
      </c>
      <c r="K5" s="43"/>
      <c r="L5" s="43"/>
    </row>
    <row r="6" spans="1:12" ht="25" hidden="1" x14ac:dyDescent="0.2">
      <c r="A6" s="2">
        <v>5</v>
      </c>
      <c r="B6" s="6" t="s">
        <v>54</v>
      </c>
      <c r="C6" s="2" t="s">
        <v>55</v>
      </c>
      <c r="D6" s="2" t="s">
        <v>190</v>
      </c>
      <c r="E6" s="8" t="s">
        <v>56</v>
      </c>
      <c r="F6" s="2" t="s">
        <v>57</v>
      </c>
      <c r="G6" s="2" t="s">
        <v>58</v>
      </c>
      <c r="H6" s="2" t="s">
        <v>59</v>
      </c>
      <c r="I6" s="2" t="s">
        <v>43</v>
      </c>
      <c r="J6" s="2" t="s">
        <v>16</v>
      </c>
    </row>
    <row r="7" spans="1:12" ht="72" hidden="1" x14ac:dyDescent="0.2">
      <c r="A7" s="2">
        <v>6</v>
      </c>
      <c r="B7" s="6" t="s">
        <v>54</v>
      </c>
      <c r="C7" s="2" t="s">
        <v>60</v>
      </c>
      <c r="D7" s="2" t="s">
        <v>191</v>
      </c>
      <c r="E7" s="8" t="s">
        <v>61</v>
      </c>
      <c r="F7" s="2" t="s">
        <v>62</v>
      </c>
      <c r="G7" s="2" t="s">
        <v>41</v>
      </c>
      <c r="H7" s="2" t="s">
        <v>47</v>
      </c>
      <c r="I7" s="2" t="s">
        <v>43</v>
      </c>
      <c r="J7" s="2" t="s">
        <v>16</v>
      </c>
    </row>
    <row r="8" spans="1:12" ht="60" hidden="1" x14ac:dyDescent="0.2">
      <c r="A8" s="2">
        <v>7</v>
      </c>
      <c r="B8" s="6" t="s">
        <v>54</v>
      </c>
      <c r="C8" s="2" t="s">
        <v>63</v>
      </c>
      <c r="D8" s="2" t="s">
        <v>192</v>
      </c>
      <c r="E8" s="8" t="s">
        <v>64</v>
      </c>
      <c r="F8" s="2" t="s">
        <v>65</v>
      </c>
      <c r="G8" s="2" t="s">
        <v>41</v>
      </c>
      <c r="H8" s="2" t="s">
        <v>42</v>
      </c>
      <c r="I8" s="2" t="s">
        <v>43</v>
      </c>
      <c r="J8" s="2" t="s">
        <v>16</v>
      </c>
    </row>
    <row r="9" spans="1:12" ht="84" hidden="1" x14ac:dyDescent="0.2">
      <c r="A9" s="2">
        <v>8</v>
      </c>
      <c r="B9" s="6" t="s">
        <v>54</v>
      </c>
      <c r="C9" s="2" t="s">
        <v>66</v>
      </c>
      <c r="D9" s="2" t="s">
        <v>193</v>
      </c>
      <c r="E9" s="8" t="s">
        <v>67</v>
      </c>
      <c r="F9" s="3" t="s">
        <v>68</v>
      </c>
      <c r="G9" s="2" t="s">
        <v>41</v>
      </c>
      <c r="H9" s="2" t="s">
        <v>42</v>
      </c>
      <c r="I9" s="2" t="s">
        <v>43</v>
      </c>
      <c r="J9" s="2" t="s">
        <v>16</v>
      </c>
    </row>
    <row r="10" spans="1:12" ht="317" hidden="1" x14ac:dyDescent="0.2">
      <c r="A10" s="2">
        <v>9</v>
      </c>
      <c r="B10" s="6" t="s">
        <v>54</v>
      </c>
      <c r="C10" s="2" t="s">
        <v>69</v>
      </c>
      <c r="D10" s="2" t="s">
        <v>194</v>
      </c>
      <c r="E10" s="8" t="s">
        <v>70</v>
      </c>
      <c r="F10" s="3" t="s">
        <v>71</v>
      </c>
      <c r="G10" s="2" t="s">
        <v>41</v>
      </c>
      <c r="H10" s="2" t="s">
        <v>42</v>
      </c>
      <c r="I10" s="2" t="s">
        <v>43</v>
      </c>
      <c r="J10" s="2" t="s">
        <v>16</v>
      </c>
    </row>
    <row r="11" spans="1:12" ht="48" hidden="1" x14ac:dyDescent="0.2">
      <c r="A11" s="2">
        <v>10</v>
      </c>
      <c r="B11" s="6" t="s">
        <v>54</v>
      </c>
      <c r="C11" s="2" t="s">
        <v>72</v>
      </c>
      <c r="D11" s="2" t="s">
        <v>195</v>
      </c>
      <c r="E11" s="8" t="s">
        <v>73</v>
      </c>
      <c r="F11" s="3" t="s">
        <v>74</v>
      </c>
      <c r="G11" s="2" t="s">
        <v>41</v>
      </c>
      <c r="H11" s="2" t="s">
        <v>42</v>
      </c>
      <c r="I11" s="2" t="s">
        <v>43</v>
      </c>
      <c r="J11" s="2" t="s">
        <v>16</v>
      </c>
    </row>
    <row r="12" spans="1:12" ht="72" hidden="1" x14ac:dyDescent="0.2">
      <c r="A12" s="2">
        <v>11</v>
      </c>
      <c r="B12" s="6" t="s">
        <v>54</v>
      </c>
      <c r="C12" s="2" t="s">
        <v>75</v>
      </c>
      <c r="D12" s="2" t="s">
        <v>196</v>
      </c>
      <c r="E12" s="8" t="s">
        <v>76</v>
      </c>
      <c r="F12" s="3" t="s">
        <v>77</v>
      </c>
      <c r="G12" s="2" t="s">
        <v>41</v>
      </c>
      <c r="H12" s="2" t="s">
        <v>42</v>
      </c>
      <c r="I12" s="2" t="s">
        <v>43</v>
      </c>
      <c r="J12" s="2" t="s">
        <v>16</v>
      </c>
    </row>
    <row r="13" spans="1:12" ht="48" hidden="1" x14ac:dyDescent="0.2">
      <c r="A13" s="2">
        <v>12</v>
      </c>
      <c r="B13" s="6" t="s">
        <v>54</v>
      </c>
      <c r="C13" s="2" t="s">
        <v>78</v>
      </c>
      <c r="D13" s="2" t="s">
        <v>197</v>
      </c>
      <c r="E13" s="8" t="s">
        <v>79</v>
      </c>
      <c r="F13" s="3" t="s">
        <v>80</v>
      </c>
      <c r="G13" s="2" t="s">
        <v>41</v>
      </c>
      <c r="H13" s="2" t="s">
        <v>42</v>
      </c>
      <c r="I13" s="2" t="s">
        <v>43</v>
      </c>
      <c r="J13" s="2" t="s">
        <v>16</v>
      </c>
    </row>
    <row r="14" spans="1:12" ht="48" hidden="1" x14ac:dyDescent="0.2">
      <c r="A14" s="2">
        <v>13</v>
      </c>
      <c r="B14" s="6" t="s">
        <v>54</v>
      </c>
      <c r="C14" s="2" t="s">
        <v>81</v>
      </c>
      <c r="D14" s="2" t="s">
        <v>198</v>
      </c>
      <c r="E14" s="8" t="s">
        <v>82</v>
      </c>
      <c r="F14" s="3" t="s">
        <v>83</v>
      </c>
      <c r="G14" s="2" t="s">
        <v>41</v>
      </c>
      <c r="H14" s="2" t="s">
        <v>42</v>
      </c>
      <c r="I14" s="2" t="s">
        <v>43</v>
      </c>
      <c r="J14" s="2" t="s">
        <v>16</v>
      </c>
    </row>
    <row r="15" spans="1:12" ht="48" hidden="1" x14ac:dyDescent="0.2">
      <c r="A15" s="2">
        <v>14</v>
      </c>
      <c r="B15" s="2" t="s">
        <v>84</v>
      </c>
      <c r="C15" s="2" t="s">
        <v>85</v>
      </c>
      <c r="D15" s="2" t="s">
        <v>199</v>
      </c>
      <c r="E15" s="8" t="s">
        <v>86</v>
      </c>
      <c r="F15" s="3" t="s">
        <v>87</v>
      </c>
      <c r="G15" s="2" t="s">
        <v>41</v>
      </c>
      <c r="H15" s="2" t="s">
        <v>42</v>
      </c>
      <c r="I15" s="2" t="s">
        <v>43</v>
      </c>
      <c r="J15" s="2" t="s">
        <v>16</v>
      </c>
    </row>
    <row r="16" spans="1:12" ht="48" hidden="1" x14ac:dyDescent="0.2">
      <c r="A16" s="2">
        <v>15</v>
      </c>
      <c r="B16" s="2" t="s">
        <v>88</v>
      </c>
      <c r="C16" s="2" t="s">
        <v>89</v>
      </c>
      <c r="D16" s="2" t="s">
        <v>200</v>
      </c>
      <c r="E16" s="8" t="s">
        <v>90</v>
      </c>
      <c r="F16" s="3" t="s">
        <v>91</v>
      </c>
      <c r="G16" s="2" t="s">
        <v>41</v>
      </c>
      <c r="H16" s="2" t="s">
        <v>42</v>
      </c>
      <c r="I16" s="2" t="s">
        <v>43</v>
      </c>
      <c r="J16" s="2" t="s">
        <v>16</v>
      </c>
    </row>
    <row r="17" spans="1:12" ht="48" hidden="1" x14ac:dyDescent="0.2">
      <c r="A17" s="2">
        <v>16</v>
      </c>
      <c r="B17" s="2" t="s">
        <v>88</v>
      </c>
      <c r="C17" s="2" t="s">
        <v>92</v>
      </c>
      <c r="D17" s="2" t="s">
        <v>201</v>
      </c>
      <c r="E17" s="8" t="s">
        <v>93</v>
      </c>
      <c r="F17" s="3" t="s">
        <v>94</v>
      </c>
      <c r="G17" s="2" t="s">
        <v>41</v>
      </c>
      <c r="H17" s="2" t="s">
        <v>42</v>
      </c>
      <c r="I17" s="2" t="s">
        <v>43</v>
      </c>
      <c r="J17" s="2" t="s">
        <v>16</v>
      </c>
    </row>
    <row r="18" spans="1:12" ht="60" hidden="1" x14ac:dyDescent="0.2">
      <c r="B18" s="2" t="s">
        <v>97</v>
      </c>
      <c r="C18" s="2" t="s">
        <v>222</v>
      </c>
      <c r="D18" s="6" t="s">
        <v>219</v>
      </c>
      <c r="E18" s="8" t="s">
        <v>220</v>
      </c>
      <c r="F18" s="3" t="s">
        <v>152</v>
      </c>
      <c r="G18" s="2" t="s">
        <v>221</v>
      </c>
      <c r="H18" s="2" t="s">
        <v>42</v>
      </c>
      <c r="I18" s="2" t="s">
        <v>43</v>
      </c>
      <c r="J18" s="2" t="s">
        <v>16</v>
      </c>
    </row>
    <row r="19" spans="1:12" ht="48" hidden="1" x14ac:dyDescent="0.2">
      <c r="A19" s="2">
        <v>17</v>
      </c>
      <c r="B19" s="2" t="s">
        <v>97</v>
      </c>
      <c r="C19" s="2" t="s">
        <v>98</v>
      </c>
      <c r="D19" s="2" t="s">
        <v>202</v>
      </c>
      <c r="E19" s="8" t="s">
        <v>99</v>
      </c>
      <c r="F19" s="3" t="s">
        <v>100</v>
      </c>
      <c r="G19" s="2" t="s">
        <v>41</v>
      </c>
      <c r="H19" s="2" t="s">
        <v>42</v>
      </c>
      <c r="I19" s="2" t="s">
        <v>43</v>
      </c>
      <c r="J19" s="2" t="s">
        <v>16</v>
      </c>
    </row>
    <row r="20" spans="1:12" ht="48" x14ac:dyDescent="0.2">
      <c r="A20" s="2">
        <v>18</v>
      </c>
      <c r="B20" s="2" t="s">
        <v>101</v>
      </c>
      <c r="C20" s="2" t="s">
        <v>102</v>
      </c>
      <c r="D20" s="2" t="s">
        <v>203</v>
      </c>
      <c r="E20" s="8" t="s">
        <v>103</v>
      </c>
      <c r="F20" s="3" t="s">
        <v>104</v>
      </c>
      <c r="G20" s="2" t="s">
        <v>41</v>
      </c>
      <c r="H20" s="2" t="s">
        <v>42</v>
      </c>
      <c r="I20" s="2" t="s">
        <v>43</v>
      </c>
      <c r="J20" s="2" t="s">
        <v>16</v>
      </c>
    </row>
    <row r="21" spans="1:12" ht="48" x14ac:dyDescent="0.2">
      <c r="A21" s="2">
        <v>19</v>
      </c>
      <c r="B21" s="2" t="s">
        <v>101</v>
      </c>
      <c r="C21" s="2" t="s">
        <v>105</v>
      </c>
      <c r="D21" s="2" t="s">
        <v>204</v>
      </c>
      <c r="E21" s="8" t="s">
        <v>106</v>
      </c>
      <c r="F21" s="3" t="s">
        <v>107</v>
      </c>
      <c r="G21" s="2" t="s">
        <v>41</v>
      </c>
      <c r="H21" s="2" t="s">
        <v>42</v>
      </c>
      <c r="I21" s="2" t="s">
        <v>43</v>
      </c>
      <c r="J21" s="2" t="s">
        <v>16</v>
      </c>
    </row>
    <row r="22" spans="1:12" ht="48" x14ac:dyDescent="0.2">
      <c r="A22" s="2">
        <v>20</v>
      </c>
      <c r="B22" s="2" t="s">
        <v>101</v>
      </c>
      <c r="C22" s="2" t="s">
        <v>108</v>
      </c>
      <c r="D22" s="2" t="s">
        <v>205</v>
      </c>
      <c r="E22" s="8" t="s">
        <v>109</v>
      </c>
      <c r="F22" s="3" t="s">
        <v>110</v>
      </c>
      <c r="G22" s="2" t="s">
        <v>41</v>
      </c>
      <c r="H22" s="2" t="s">
        <v>42</v>
      </c>
      <c r="I22" s="2" t="s">
        <v>43</v>
      </c>
      <c r="J22" s="2" t="s">
        <v>16</v>
      </c>
    </row>
    <row r="23" spans="1:12" ht="36" x14ac:dyDescent="0.2">
      <c r="A23" s="2">
        <v>21</v>
      </c>
      <c r="B23" s="2" t="s">
        <v>101</v>
      </c>
      <c r="C23" s="2" t="s">
        <v>111</v>
      </c>
      <c r="D23" s="2" t="s">
        <v>206</v>
      </c>
      <c r="E23" s="8" t="s">
        <v>112</v>
      </c>
      <c r="F23" s="3" t="s">
        <v>113</v>
      </c>
      <c r="G23" s="2" t="s">
        <v>41</v>
      </c>
      <c r="H23" s="2" t="s">
        <v>42</v>
      </c>
      <c r="I23" s="2" t="s">
        <v>43</v>
      </c>
      <c r="J23" s="2" t="s">
        <v>16</v>
      </c>
    </row>
    <row r="24" spans="1:12" ht="60" x14ac:dyDescent="0.2">
      <c r="A24" s="2">
        <v>22</v>
      </c>
      <c r="B24" s="2" t="s">
        <v>101</v>
      </c>
      <c r="C24" s="2" t="s">
        <v>114</v>
      </c>
      <c r="D24" s="2" t="s">
        <v>207</v>
      </c>
      <c r="E24" s="8" t="s">
        <v>115</v>
      </c>
      <c r="F24" s="3" t="s">
        <v>116</v>
      </c>
      <c r="G24" s="2" t="s">
        <v>41</v>
      </c>
      <c r="H24" s="2" t="s">
        <v>42</v>
      </c>
      <c r="I24" s="2" t="s">
        <v>43</v>
      </c>
      <c r="J24" s="2" t="s">
        <v>16</v>
      </c>
    </row>
    <row r="25" spans="1:12" s="50" customFormat="1" ht="84" x14ac:dyDescent="0.2">
      <c r="A25" s="47">
        <v>23</v>
      </c>
      <c r="B25" s="47" t="s">
        <v>101</v>
      </c>
      <c r="C25" s="47" t="s">
        <v>117</v>
      </c>
      <c r="D25" s="47" t="s">
        <v>208</v>
      </c>
      <c r="E25" s="48" t="s">
        <v>118</v>
      </c>
      <c r="F25" s="49" t="s">
        <v>119</v>
      </c>
      <c r="G25" s="47" t="s">
        <v>95</v>
      </c>
      <c r="H25" s="47" t="s">
        <v>96</v>
      </c>
      <c r="I25" s="47" t="s">
        <v>43</v>
      </c>
      <c r="J25" s="47" t="s">
        <v>16</v>
      </c>
      <c r="K25" s="47"/>
      <c r="L25" s="47"/>
    </row>
    <row r="26" spans="1:12" ht="48" x14ac:dyDescent="0.2">
      <c r="A26" s="2">
        <v>24</v>
      </c>
      <c r="B26" s="2" t="s">
        <v>101</v>
      </c>
      <c r="C26" s="2" t="s">
        <v>120</v>
      </c>
      <c r="D26" s="2" t="s">
        <v>209</v>
      </c>
      <c r="E26" s="8" t="s">
        <v>121</v>
      </c>
      <c r="F26" s="3" t="s">
        <v>122</v>
      </c>
      <c r="G26" s="2" t="s">
        <v>41</v>
      </c>
      <c r="H26" s="2" t="s">
        <v>42</v>
      </c>
      <c r="I26" s="2" t="s">
        <v>43</v>
      </c>
      <c r="J26" s="2" t="s">
        <v>16</v>
      </c>
    </row>
    <row r="27" spans="1:12" s="50" customFormat="1" ht="48" x14ac:dyDescent="0.2">
      <c r="A27" s="47">
        <v>25</v>
      </c>
      <c r="B27" s="47" t="s">
        <v>101</v>
      </c>
      <c r="C27" s="47" t="s">
        <v>123</v>
      </c>
      <c r="D27" s="47" t="s">
        <v>210</v>
      </c>
      <c r="E27" s="48" t="s">
        <v>124</v>
      </c>
      <c r="F27" s="49" t="s">
        <v>125</v>
      </c>
      <c r="G27" s="47" t="s">
        <v>41</v>
      </c>
      <c r="H27" s="47" t="s">
        <v>42</v>
      </c>
      <c r="I27" s="47" t="s">
        <v>43</v>
      </c>
      <c r="J27" s="47" t="s">
        <v>16</v>
      </c>
      <c r="K27" s="47"/>
      <c r="L27" s="47"/>
    </row>
    <row r="28" spans="1:12" s="50" customFormat="1" ht="96" x14ac:dyDescent="0.2">
      <c r="A28" s="47">
        <v>26</v>
      </c>
      <c r="B28" s="47" t="s">
        <v>101</v>
      </c>
      <c r="C28" s="47" t="s">
        <v>126</v>
      </c>
      <c r="D28" s="47" t="s">
        <v>211</v>
      </c>
      <c r="E28" s="48" t="s">
        <v>127</v>
      </c>
      <c r="F28" s="49" t="s">
        <v>128</v>
      </c>
      <c r="G28" s="47" t="s">
        <v>95</v>
      </c>
      <c r="H28" s="47" t="s">
        <v>96</v>
      </c>
      <c r="I28" s="47" t="s">
        <v>43</v>
      </c>
      <c r="J28" s="47" t="s">
        <v>16</v>
      </c>
      <c r="K28" s="47"/>
      <c r="L28" s="47"/>
    </row>
    <row r="29" spans="1:12" ht="84" hidden="1" x14ac:dyDescent="0.2">
      <c r="A29" s="2">
        <v>27</v>
      </c>
      <c r="B29" s="6" t="s">
        <v>129</v>
      </c>
      <c r="C29" s="2" t="s">
        <v>130</v>
      </c>
      <c r="D29" s="2" t="s">
        <v>212</v>
      </c>
      <c r="E29" s="8" t="s">
        <v>131</v>
      </c>
      <c r="F29" s="3" t="s">
        <v>132</v>
      </c>
      <c r="G29" s="2" t="s">
        <v>41</v>
      </c>
      <c r="H29" s="2" t="s">
        <v>42</v>
      </c>
      <c r="I29" s="2" t="s">
        <v>43</v>
      </c>
      <c r="J29" s="2" t="s">
        <v>16</v>
      </c>
    </row>
    <row r="30" spans="1:12" ht="48" hidden="1" x14ac:dyDescent="0.2">
      <c r="A30" s="2">
        <v>28</v>
      </c>
      <c r="B30" s="6" t="s">
        <v>129</v>
      </c>
      <c r="C30" s="2" t="s">
        <v>133</v>
      </c>
      <c r="D30" s="2" t="s">
        <v>213</v>
      </c>
      <c r="E30" s="8" t="s">
        <v>134</v>
      </c>
      <c r="F30" s="3" t="s">
        <v>135</v>
      </c>
      <c r="G30" s="2" t="s">
        <v>41</v>
      </c>
      <c r="H30" s="2" t="s">
        <v>42</v>
      </c>
      <c r="I30" s="2" t="s">
        <v>43</v>
      </c>
      <c r="J30" s="2" t="s">
        <v>16</v>
      </c>
    </row>
    <row r="31" spans="1:12" ht="64" hidden="1" x14ac:dyDescent="0.2">
      <c r="A31" s="2">
        <v>29</v>
      </c>
      <c r="B31" s="6" t="s">
        <v>129</v>
      </c>
      <c r="C31" s="2" t="s">
        <v>136</v>
      </c>
      <c r="D31" s="2" t="s">
        <v>214</v>
      </c>
      <c r="E31" s="8" t="s">
        <v>137</v>
      </c>
      <c r="F31" s="3" t="s">
        <v>138</v>
      </c>
      <c r="G31" s="2" t="s">
        <v>139</v>
      </c>
      <c r="H31" s="2" t="s">
        <v>140</v>
      </c>
      <c r="I31" s="2" t="s">
        <v>43</v>
      </c>
      <c r="J31" s="2" t="s">
        <v>16</v>
      </c>
    </row>
    <row r="32" spans="1:12" ht="48" hidden="1" x14ac:dyDescent="0.2">
      <c r="A32" s="2">
        <v>30</v>
      </c>
      <c r="B32" s="6" t="s">
        <v>129</v>
      </c>
      <c r="C32" s="2" t="s">
        <v>141</v>
      </c>
      <c r="D32" s="2" t="s">
        <v>215</v>
      </c>
      <c r="E32" s="8" t="s">
        <v>142</v>
      </c>
      <c r="F32" s="3" t="s">
        <v>143</v>
      </c>
      <c r="G32" s="2" t="s">
        <v>41</v>
      </c>
      <c r="H32" s="2" t="s">
        <v>42</v>
      </c>
      <c r="I32" s="2" t="s">
        <v>43</v>
      </c>
      <c r="J32" s="2" t="s">
        <v>16</v>
      </c>
    </row>
    <row r="33" spans="1:10" ht="48" hidden="1" x14ac:dyDescent="0.2">
      <c r="A33" s="2">
        <v>31</v>
      </c>
      <c r="B33" s="6" t="s">
        <v>129</v>
      </c>
      <c r="C33" s="2" t="s">
        <v>144</v>
      </c>
      <c r="D33" s="2" t="s">
        <v>216</v>
      </c>
      <c r="E33" s="8" t="s">
        <v>145</v>
      </c>
      <c r="F33" s="40" t="s">
        <v>146</v>
      </c>
      <c r="G33" s="2" t="s">
        <v>41</v>
      </c>
      <c r="H33" s="2" t="s">
        <v>42</v>
      </c>
      <c r="I33" s="2" t="s">
        <v>43</v>
      </c>
      <c r="J33" s="2" t="s">
        <v>16</v>
      </c>
    </row>
    <row r="34" spans="1:10" ht="108" hidden="1" x14ac:dyDescent="0.2">
      <c r="A34" s="2">
        <v>32</v>
      </c>
      <c r="B34" s="2" t="s">
        <v>147</v>
      </c>
      <c r="C34" s="2" t="s">
        <v>148</v>
      </c>
      <c r="D34" s="2" t="s">
        <v>217</v>
      </c>
      <c r="E34" s="8" t="s">
        <v>149</v>
      </c>
      <c r="F34" s="3" t="s">
        <v>150</v>
      </c>
      <c r="G34" s="2" t="s">
        <v>41</v>
      </c>
      <c r="H34" s="2" t="s">
        <v>42</v>
      </c>
      <c r="I34" s="2" t="s">
        <v>43</v>
      </c>
      <c r="J34" s="2" t="s">
        <v>16</v>
      </c>
    </row>
    <row r="35" spans="1:10" ht="84" hidden="1" x14ac:dyDescent="0.2">
      <c r="A35" s="2">
        <v>33</v>
      </c>
      <c r="B35" s="6" t="s">
        <v>151</v>
      </c>
      <c r="C35" s="2" t="s">
        <v>185</v>
      </c>
      <c r="D35" s="2" t="s">
        <v>218</v>
      </c>
      <c r="E35" s="8" t="s">
        <v>223</v>
      </c>
      <c r="F35" s="3" t="s">
        <v>152</v>
      </c>
      <c r="G35" s="2" t="s">
        <v>153</v>
      </c>
      <c r="H35" s="2" t="s">
        <v>42</v>
      </c>
      <c r="I35" s="2" t="s">
        <v>43</v>
      </c>
      <c r="J35" s="2" t="s">
        <v>16</v>
      </c>
    </row>
    <row r="45" spans="1:10" x14ac:dyDescent="0.2">
      <c r="B45" s="6"/>
    </row>
  </sheetData>
  <autoFilter ref="A1:J35" xr:uid="{9FBA4AE1-1428-425B-9D23-FC881F2F9CB8}">
    <filterColumn colId="1">
      <filters>
        <filter val="Violencia y seguridad ciudadana (Contexto)"/>
      </filters>
    </filterColumn>
  </autoFilter>
  <hyperlinks>
    <hyperlink ref="F2" r:id="rId1" xr:uid="{16755BFF-F5AE-4DBD-89F8-810B968D6430}"/>
    <hyperlink ref="F3" r:id="rId2" xr:uid="{D4083103-794D-44E8-8929-085D4C9BDC97}"/>
    <hyperlink ref="F4" r:id="rId3" xr:uid="{538F1193-9D31-4543-9608-A717E61D6696}"/>
    <hyperlink ref="F5" r:id="rId4" xr:uid="{5C7DF63B-7D00-459D-A30E-AA928562A4B8}"/>
    <hyperlink ref="F6" r:id="rId5" xr:uid="{B6F4614A-DAD0-4FD8-AA04-1D46B54F72D1}"/>
    <hyperlink ref="F7" r:id="rId6" xr:uid="{6063B632-2533-46B3-BFF1-D642E34825CB}"/>
    <hyperlink ref="F8" r:id="rId7" xr:uid="{417EFDDD-447C-47AE-92D1-B54D139C958E}"/>
    <hyperlink ref="F9" r:id="rId8" xr:uid="{0133BBB7-1560-4DAA-8ED2-3A6BBF394679}"/>
    <hyperlink ref="F11" r:id="rId9" xr:uid="{CFE3B365-1864-4559-8C42-56FD93C7AA6D}"/>
    <hyperlink ref="F12" r:id="rId10" xr:uid="{8FCC16BD-8616-4339-AA5A-091144139C81}"/>
    <hyperlink ref="F13" r:id="rId11" xr:uid="{22DED371-B56B-4F8A-8F79-E3267C1DDF38}"/>
    <hyperlink ref="F14" r:id="rId12" xr:uid="{AB6C7A81-5963-4D5B-8320-701F650031EB}"/>
    <hyperlink ref="F15" r:id="rId13" xr:uid="{8FEB3F67-D3CE-47EF-BC89-7D77EBF33E39}"/>
    <hyperlink ref="F16" r:id="rId14" xr:uid="{1F49C798-6E2D-4B22-A6AA-80BAF3B81311}"/>
    <hyperlink ref="F17" r:id="rId15" xr:uid="{F5A6365D-783A-45B1-A8A8-4F79220F59EF}"/>
    <hyperlink ref="F19" r:id="rId16" xr:uid="{FDD920F7-48E2-463E-9C04-42BAE6E3D388}"/>
    <hyperlink ref="F20" r:id="rId17" xr:uid="{C2C8AFF0-5F27-4634-8759-2B816D0761F0}"/>
    <hyperlink ref="F21" r:id="rId18" xr:uid="{A847ED8D-A940-4904-A47E-CB2711F7E144}"/>
    <hyperlink ref="F22" r:id="rId19" xr:uid="{F6FA849D-FCF9-4A57-A732-76B9066F1405}"/>
    <hyperlink ref="F23" r:id="rId20" xr:uid="{D22DDC64-ADFD-4AD3-93A6-2659FA090B76}"/>
    <hyperlink ref="F25" r:id="rId21" xr:uid="{06A77275-DD02-447B-B26F-42F25DE66435}"/>
    <hyperlink ref="F29" r:id="rId22" xr:uid="{B1496189-2F20-4B16-B82D-4B4E8731023B}"/>
    <hyperlink ref="F28" r:id="rId23" xr:uid="{8FFA67EA-3C07-4AA5-989E-D7E6E1262CAE}"/>
    <hyperlink ref="F10" r:id="rId24" xr:uid="{7CB7DBA1-FEBE-4922-AB68-15F4DCC141E4}"/>
    <hyperlink ref="F24" r:id="rId25" xr:uid="{14E99C4B-59EE-44DC-B9D8-D87CF16BA583}"/>
    <hyperlink ref="F30" r:id="rId26" xr:uid="{4F1118EC-30C9-4BE8-BA06-334C574FAA36}"/>
    <hyperlink ref="F31" r:id="rId27" xr:uid="{E711AEA2-504A-4C21-A917-7DD11FB31165}"/>
    <hyperlink ref="F32" r:id="rId28" xr:uid="{D85F76AE-07C9-4168-B7C5-E1EA16D74FFC}"/>
    <hyperlink ref="F33" r:id="rId29" xr:uid="{320AE5B1-3852-4621-9C5B-AC6051BDA593}"/>
    <hyperlink ref="F26" r:id="rId30" xr:uid="{C72FE11F-C145-4C9E-88E7-54E0D48EEE7D}"/>
    <hyperlink ref="F34" r:id="rId31" xr:uid="{19D2FE64-11F3-4F18-81CC-8D62C8CE38BF}"/>
    <hyperlink ref="F27" r:id="rId32" xr:uid="{00A01205-55C3-42C8-BAB4-A87019AAE7E6}"/>
    <hyperlink ref="C35" r:id="rId33" display="https://www.fiscalia.gov.co/colombia/gestion/estadisticas/" xr:uid="{DDE92814-CCEF-4F34-AB00-242A42FE41B0}"/>
    <hyperlink ref="F35" r:id="rId34" xr:uid="{C03DA56E-C9A5-48B2-906E-91FADD88C629}"/>
    <hyperlink ref="F18" r:id="rId35" xr:uid="{90F25B8A-79EB-4E71-A352-BB9DFC5C50A3}"/>
  </hyperlinks>
  <pageMargins left="0.7" right="0.7" top="0.75" bottom="0.75" header="0.3" footer="0.3"/>
  <legacyDrawing r:id="rId3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EC00-F976-4A89-BD9C-370455E6F611}">
  <dimension ref="A1"/>
  <sheetViews>
    <sheetView topLeftCell="A14" workbookViewId="0"/>
  </sheetViews>
  <sheetFormatPr baseColWidth="10"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FE397C3B77C574EBFC88A5F4FF88F9F" ma:contentTypeVersion="16" ma:contentTypeDescription="Crear nuevo documento." ma:contentTypeScope="" ma:versionID="eb2c10a19a0a8d25c4ee14a9260d0b2f">
  <xsd:schema xmlns:xsd="http://www.w3.org/2001/XMLSchema" xmlns:xs="http://www.w3.org/2001/XMLSchema" xmlns:p="http://schemas.microsoft.com/office/2006/metadata/properties" xmlns:ns1="http://schemas.microsoft.com/sharepoint/v3" xmlns:ns2="2da31b5d-501a-4f6f-a715-d21f8c3f3360" xmlns:ns3="cc355e4e-a2c6-44b6-abf6-996894323945" xmlns:ns4="89d5a490-7414-43ed-878c-c772e77d248c" targetNamespace="http://schemas.microsoft.com/office/2006/metadata/properties" ma:root="true" ma:fieldsID="3cdbc779a2045c25d97050ea3f2082ce" ns1:_="" ns2:_="" ns3:_="" ns4:_="">
    <xsd:import namespace="http://schemas.microsoft.com/sharepoint/v3"/>
    <xsd:import namespace="2da31b5d-501a-4f6f-a715-d21f8c3f3360"/>
    <xsd:import namespace="cc355e4e-a2c6-44b6-abf6-996894323945"/>
    <xsd:import namespace="89d5a490-7414-43ed-878c-c772e77d248c"/>
    <xsd:element name="properties">
      <xsd:complexType>
        <xsd:sequence>
          <xsd:element name="documentManagement">
            <xsd:complexType>
              <xsd:all>
                <xsd:element ref="ns1:PublishingStartDate" minOccurs="0"/>
                <xsd:element ref="ns1:PublishingExpirationDate"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4:SharedWithUsers" minOccurs="0"/>
                <xsd:element ref="ns4: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Fecha de inicio programada" ma:description="Fecha de inicio programada es una columna del sitio que crea la característica Publicación. Se usa para especificar la fecha y la hora a la que esta página se presentará por primera vez a los visitantes del sitio." ma:internalName="PublishingStartDate">
      <xsd:simpleType>
        <xsd:restriction base="dms:Unknown"/>
      </xsd:simpleType>
    </xsd:element>
    <xsd:element name="PublishingExpirationDate" ma:index="9" nillable="true" ma:displayName="Fecha de finalización programada" ma:description="Fecha de finalización programada es una columna del sitio que crea la característica Publicación. Se usa para especificar la fecha y la hora a la que esta página dejará de presentarse a los visitantes del sitio."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a31b5d-501a-4f6f-a715-d21f8c3f336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4e9f8eb-265a-4c85-b8ab-c99e1db0401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355e4e-a2c6-44b6-abf6-9968943239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7b65dac-6f31-4aa5-9de4-4d9a6fc52210}" ma:internalName="TaxCatchAll" ma:showField="CatchAllData" ma:web="cc355e4e-a2c6-44b6-abf6-9968943239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9d5a490-7414-43ed-878c-c772e77d248c" elementFormDefault="qualified">
    <xsd:import namespace="http://schemas.microsoft.com/office/2006/documentManagement/types"/>
    <xsd:import namespace="http://schemas.microsoft.com/office/infopath/2007/PartnerControls"/>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da31b5d-501a-4f6f-a715-d21f8c3f3360">
      <Terms xmlns="http://schemas.microsoft.com/office/infopath/2007/PartnerControls"/>
    </lcf76f155ced4ddcb4097134ff3c332f>
    <TaxCatchAll xmlns="cc355e4e-a2c6-44b6-abf6-996894323945" xsi:nil="true"/>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BB87B0F0-8725-4400-B962-96F32F9AFF8A}">
  <ds:schemaRefs>
    <ds:schemaRef ds:uri="http://schemas.microsoft.com/sharepoint/v3/contenttype/forms"/>
  </ds:schemaRefs>
</ds:datastoreItem>
</file>

<file path=customXml/itemProps2.xml><?xml version="1.0" encoding="utf-8"?>
<ds:datastoreItem xmlns:ds="http://schemas.openxmlformats.org/officeDocument/2006/customXml" ds:itemID="{3D68B39D-4655-4233-B7D9-1423A8ED3E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da31b5d-501a-4f6f-a715-d21f8c3f3360"/>
    <ds:schemaRef ds:uri="cc355e4e-a2c6-44b6-abf6-996894323945"/>
    <ds:schemaRef ds:uri="89d5a490-7414-43ed-878c-c772e77d24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A42610-8738-4883-8F02-751C4346800C}">
  <ds:schemaRefs>
    <ds:schemaRef ds:uri="http://schemas.microsoft.com/office/2006/metadata/properties"/>
    <ds:schemaRef ds:uri="http://schemas.microsoft.com/office/infopath/2007/PartnerControls"/>
    <ds:schemaRef ds:uri="2da31b5d-501a-4f6f-a715-d21f8c3f3360"/>
    <ds:schemaRef ds:uri="cc355e4e-a2c6-44b6-abf6-996894323945"/>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ANEXO_ANTIGUO</vt:lpstr>
      <vt:lpstr>ANEXO_PROPUESTO</vt:lpstr>
      <vt:lpstr>CONCEPTOS</vt:lpstr>
      <vt:lpstr>FUENTES</vt:lpstr>
      <vt:lpstr>Guia Codificacion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Jose Echeverry de Mendoza</dc:creator>
  <cp:keywords/>
  <dc:description/>
  <cp:lastModifiedBy>Maria Rebeca Caldas Gomez</cp:lastModifiedBy>
  <cp:revision/>
  <dcterms:created xsi:type="dcterms:W3CDTF">2025-02-17T18:18:47Z</dcterms:created>
  <dcterms:modified xsi:type="dcterms:W3CDTF">2026-05-03T22:14:58Z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0x0101006FE397C3B77C574EBFC88A5F4FF88F9F</vt:lpwstr>
  </property>
  <property fmtid="{D5CDD505-2E9C-101B-9397-08002B2CF9AE}" pid="3" name="MediaServiceImageTags">
    <vt:lpwstr/>
  </property>
</Properties>
</file>